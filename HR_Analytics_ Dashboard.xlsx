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620" activeTab="2"/>
  </bookViews>
  <sheets>
    <sheet name="HR_Data" sheetId="1" r:id="rId1"/>
    <sheet name="Sheet2" sheetId="4" r:id="rId2"/>
    <sheet name="Summary" sheetId="5" r:id="rId3"/>
    <sheet name="Dashboard" sheetId="3" r:id="rId4"/>
  </sheets>
  <definedNames>
    <definedName name="_xlnm._FilterDatabase" localSheetId="0" hidden="1">HR_Data!$A$1:$K$501</definedName>
    <definedName name="Slicer_Joining_Date">#N/A</definedName>
    <definedName name="Slicer_Employment_Status">#N/A</definedName>
    <definedName name="Slicer_Location">#N/A</definedName>
    <definedName name="Slicer_Department">#N/A</definedName>
    <definedName name="Slicer_Gender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10"/>
        <x14:slicerCache r:id="rId9"/>
        <x14:slicerCache r:id="rId8"/>
        <x14:slicerCache r:id="rId7"/>
        <x14:slicerCache r:id="rId6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<sst xmlns="http://schemas.openxmlformats.org/spreadsheetml/2006/main" count="3230" uniqueCount="867">
  <si>
    <t>Employee_ID</t>
  </si>
  <si>
    <t>Employee_Name</t>
  </si>
  <si>
    <t>Gender</t>
  </si>
  <si>
    <t>Department</t>
  </si>
  <si>
    <t>Location</t>
  </si>
  <si>
    <t>Joining_Date</t>
  </si>
  <si>
    <t>Joining_year</t>
  </si>
  <si>
    <t>Experience_Years</t>
  </si>
  <si>
    <t>Salary</t>
  </si>
  <si>
    <t>Performance_Score</t>
  </si>
  <si>
    <t>Employment_Status</t>
  </si>
  <si>
    <t>E0001</t>
  </si>
  <si>
    <t>Sachin</t>
  </si>
  <si>
    <t>Male</t>
  </si>
  <si>
    <t>Data Analyst</t>
  </si>
  <si>
    <t>Delhi</t>
  </si>
  <si>
    <t>Active</t>
  </si>
  <si>
    <t>E0002</t>
  </si>
  <si>
    <t>Vivaan Sharma</t>
  </si>
  <si>
    <t>Female</t>
  </si>
  <si>
    <t>IT</t>
  </si>
  <si>
    <t>Mumbai</t>
  </si>
  <si>
    <t>E0003</t>
  </si>
  <si>
    <t>Karan Joshi</t>
  </si>
  <si>
    <t>Marketing</t>
  </si>
  <si>
    <t>Hyderabad</t>
  </si>
  <si>
    <t>E0004</t>
  </si>
  <si>
    <t>Arjun Verma</t>
  </si>
  <si>
    <t>Finance</t>
  </si>
  <si>
    <t>E0005</t>
  </si>
  <si>
    <t>Priya Verma</t>
  </si>
  <si>
    <t>Support</t>
  </si>
  <si>
    <t>active</t>
  </si>
  <si>
    <t>E0006</t>
  </si>
  <si>
    <t>Kavya Verma</t>
  </si>
  <si>
    <t>inactive</t>
  </si>
  <si>
    <t>E0007</t>
  </si>
  <si>
    <t>Varun Gupta</t>
  </si>
  <si>
    <t>E0008</t>
  </si>
  <si>
    <t>Simran Malhotra</t>
  </si>
  <si>
    <t>E0009</t>
  </si>
  <si>
    <t>Pooja Patel</t>
  </si>
  <si>
    <t>Operations</t>
  </si>
  <si>
    <t>E0010</t>
  </si>
  <si>
    <t>Nisha Yadav</t>
  </si>
  <si>
    <t>E0011</t>
  </si>
  <si>
    <t>Kabir Gupta</t>
  </si>
  <si>
    <t>E0012</t>
  </si>
  <si>
    <t>Karan Singh</t>
  </si>
  <si>
    <t>E0013</t>
  </si>
  <si>
    <t>Aditi Malhotra</t>
  </si>
  <si>
    <t>E0014</t>
  </si>
  <si>
    <t>Pooja Kapoor</t>
  </si>
  <si>
    <t>Pune</t>
  </si>
  <si>
    <t>E0015</t>
  </si>
  <si>
    <t>Arjun Gupta</t>
  </si>
  <si>
    <t>Bangalore</t>
  </si>
  <si>
    <t>E0016</t>
  </si>
  <si>
    <t>Tanya Malhotra</t>
  </si>
  <si>
    <t>HR</t>
  </si>
  <si>
    <t>E0017</t>
  </si>
  <si>
    <t>Priya Agarwal</t>
  </si>
  <si>
    <t>E0018</t>
  </si>
  <si>
    <t>Karan Sharma</t>
  </si>
  <si>
    <t>E0019</t>
  </si>
  <si>
    <t>Sneha Mishra</t>
  </si>
  <si>
    <t>E0020</t>
  </si>
  <si>
    <t>Nisha Mishra</t>
  </si>
  <si>
    <t>Sales</t>
  </si>
  <si>
    <t>E0021</t>
  </si>
  <si>
    <t>Yash Mishra</t>
  </si>
  <si>
    <t>E0022</t>
  </si>
  <si>
    <t>Aditya Kapoor</t>
  </si>
  <si>
    <t>E0023</t>
  </si>
  <si>
    <t>Neha Kumar</t>
  </si>
  <si>
    <t>E0024</t>
  </si>
  <si>
    <t>Aditi Joshi</t>
  </si>
  <si>
    <t>E0025</t>
  </si>
  <si>
    <t>Nikhil Joshi</t>
  </si>
  <si>
    <t>E0026</t>
  </si>
  <si>
    <t>Karan Kumar</t>
  </si>
  <si>
    <t>E0027</t>
  </si>
  <si>
    <t>Tanya Verma</t>
  </si>
  <si>
    <t>E0028</t>
  </si>
  <si>
    <t>Nisha Agarwal</t>
  </si>
  <si>
    <t>E0029</t>
  </si>
  <si>
    <t>Shreya Sharma</t>
  </si>
  <si>
    <t>E0030</t>
  </si>
  <si>
    <t>Kabir Kumar</t>
  </si>
  <si>
    <t>E0031</t>
  </si>
  <si>
    <t>E0032</t>
  </si>
  <si>
    <t>Aditya Yadav</t>
  </si>
  <si>
    <t>Inactive</t>
  </si>
  <si>
    <t>E0033</t>
  </si>
  <si>
    <t>Ananya Yadav</t>
  </si>
  <si>
    <t>E0034</t>
  </si>
  <si>
    <t>Karan Gupta</t>
  </si>
  <si>
    <t>E0035</t>
  </si>
  <si>
    <t>Aarav Joshi</t>
  </si>
  <si>
    <t>E0036</t>
  </si>
  <si>
    <t>Shreya Verma</t>
  </si>
  <si>
    <t>E0037</t>
  </si>
  <si>
    <t>Simran Agarwal</t>
  </si>
  <si>
    <t>E0038</t>
  </si>
  <si>
    <t>Aman Verma</t>
  </si>
  <si>
    <t>E0039</t>
  </si>
  <si>
    <t>Kavya Patel</t>
  </si>
  <si>
    <t>E0040</t>
  </si>
  <si>
    <t>Isha Mehta</t>
  </si>
  <si>
    <t>E0041</t>
  </si>
  <si>
    <t>Rohan Kapoor</t>
  </si>
  <si>
    <t>E0042</t>
  </si>
  <si>
    <t>Priya Sharma</t>
  </si>
  <si>
    <t>E0043</t>
  </si>
  <si>
    <t>Sahil Agarwal</t>
  </si>
  <si>
    <t>E0044</t>
  </si>
  <si>
    <t>Simran Kapoor</t>
  </si>
  <si>
    <t>E0045</t>
  </si>
  <si>
    <t>Shreya Mehta</t>
  </si>
  <si>
    <t>E0046</t>
  </si>
  <si>
    <t>Rohan Agarwal</t>
  </si>
  <si>
    <t>E0047</t>
  </si>
  <si>
    <t>Sahil Gupta</t>
  </si>
  <si>
    <t>E0048</t>
  </si>
  <si>
    <t>Sneha Gupta</t>
  </si>
  <si>
    <t>E0049</t>
  </si>
  <si>
    <t>E0050</t>
  </si>
  <si>
    <t>Nikhil Yadav</t>
  </si>
  <si>
    <t>E0051</t>
  </si>
  <si>
    <t>Kavya Mehta</t>
  </si>
  <si>
    <t>E0052</t>
  </si>
  <si>
    <t>Nikhil Verma</t>
  </si>
  <si>
    <t>E0053</t>
  </si>
  <si>
    <t>Riya Gupta</t>
  </si>
  <si>
    <t>E0054</t>
  </si>
  <si>
    <t>E0055</t>
  </si>
  <si>
    <t>Ankit Gupta</t>
  </si>
  <si>
    <t>E0056</t>
  </si>
  <si>
    <t>Aditi Agarwal</t>
  </si>
  <si>
    <t>E0057</t>
  </si>
  <si>
    <t>Aditya Bansal</t>
  </si>
  <si>
    <t>E0058</t>
  </si>
  <si>
    <t>Simran Bansal</t>
  </si>
  <si>
    <t>E0059</t>
  </si>
  <si>
    <t>Mera Mehta</t>
  </si>
  <si>
    <t>E0060</t>
  </si>
  <si>
    <t>E0061</t>
  </si>
  <si>
    <t>Yash Singh</t>
  </si>
  <si>
    <t>E0062</t>
  </si>
  <si>
    <t>Meera Mishra</t>
  </si>
  <si>
    <t>E0063</t>
  </si>
  <si>
    <t>Meera Malhotra</t>
  </si>
  <si>
    <t>E0064</t>
  </si>
  <si>
    <t>Aman Patel</t>
  </si>
  <si>
    <t>E0065</t>
  </si>
  <si>
    <t>Kavya Kumar</t>
  </si>
  <si>
    <t>E0066</t>
  </si>
  <si>
    <t>Tanya Agarwal</t>
  </si>
  <si>
    <t>E0067</t>
  </si>
  <si>
    <t>Tanya Bansal</t>
  </si>
  <si>
    <t>E0068</t>
  </si>
  <si>
    <t>Rahul Malhotra</t>
  </si>
  <si>
    <t>E0069</t>
  </si>
  <si>
    <t>Nisha Mehta</t>
  </si>
  <si>
    <t>E0070</t>
  </si>
  <si>
    <t>Rahul Kumar</t>
  </si>
  <si>
    <t>E0071</t>
  </si>
  <si>
    <t>Aman Bansal</t>
  </si>
  <si>
    <t>E0072</t>
  </si>
  <si>
    <t>Sneha Sharma</t>
  </si>
  <si>
    <t>E0073</t>
  </si>
  <si>
    <t>Mera Malhotra</t>
  </si>
  <si>
    <t>E0074</t>
  </si>
  <si>
    <t>Sneha Bansal</t>
  </si>
  <si>
    <t>E0075</t>
  </si>
  <si>
    <t>Varun Kapoor</t>
  </si>
  <si>
    <t>E0076</t>
  </si>
  <si>
    <t>Aditi Yadav</t>
  </si>
  <si>
    <t>E0077</t>
  </si>
  <si>
    <t>Aarav Bansal</t>
  </si>
  <si>
    <t>E0078</t>
  </si>
  <si>
    <t>E0079</t>
  </si>
  <si>
    <t>Nikhil Bansal</t>
  </si>
  <si>
    <t>E0080</t>
  </si>
  <si>
    <t>Sneha Joshi</t>
  </si>
  <si>
    <t>E0081</t>
  </si>
  <si>
    <t>Rohan Joshi</t>
  </si>
  <si>
    <t>E0082</t>
  </si>
  <si>
    <t>E0083</t>
  </si>
  <si>
    <t>Isha Kapoor</t>
  </si>
  <si>
    <t>E0084</t>
  </si>
  <si>
    <t>Mera Mishra</t>
  </si>
  <si>
    <t>E0085</t>
  </si>
  <si>
    <t>Aman Gupta</t>
  </si>
  <si>
    <t>E0086</t>
  </si>
  <si>
    <t>Vikram Kumar</t>
  </si>
  <si>
    <t>E0087</t>
  </si>
  <si>
    <t>Meera Kumar</t>
  </si>
  <si>
    <t>E0088</t>
  </si>
  <si>
    <t>Priya Gupta</t>
  </si>
  <si>
    <t>E0089</t>
  </si>
  <si>
    <t>Ananya Gupta</t>
  </si>
  <si>
    <t>E0090</t>
  </si>
  <si>
    <t>Varun Joshi</t>
  </si>
  <si>
    <t>E0091</t>
  </si>
  <si>
    <t>Aditya Kumar</t>
  </si>
  <si>
    <t>E0092</t>
  </si>
  <si>
    <t>Nisha Joshi</t>
  </si>
  <si>
    <t>E0093</t>
  </si>
  <si>
    <t>E0094</t>
  </si>
  <si>
    <t>Rohan Sharma</t>
  </si>
  <si>
    <t>E0095</t>
  </si>
  <si>
    <t>Kavya Gupta</t>
  </si>
  <si>
    <t>E0096</t>
  </si>
  <si>
    <t>E0097</t>
  </si>
  <si>
    <t>Vivaan Singh</t>
  </si>
  <si>
    <t>E0098</t>
  </si>
  <si>
    <t>E0099</t>
  </si>
  <si>
    <t>E0100</t>
  </si>
  <si>
    <t>Sneha Malhotra</t>
  </si>
  <si>
    <t>E0101</t>
  </si>
  <si>
    <t>Nisha Gupta</t>
  </si>
  <si>
    <t>E0102</t>
  </si>
  <si>
    <t>Pooja Verma</t>
  </si>
  <si>
    <t>E0103</t>
  </si>
  <si>
    <t>Meera Agarwal</t>
  </si>
  <si>
    <t>E0104</t>
  </si>
  <si>
    <t>Pooja Bansal</t>
  </si>
  <si>
    <t>E0105</t>
  </si>
  <si>
    <t>Isha Joshi</t>
  </si>
  <si>
    <t>E0106</t>
  </si>
  <si>
    <t>Aarav Malhotra</t>
  </si>
  <si>
    <t>E0107</t>
  </si>
  <si>
    <t>E0108</t>
  </si>
  <si>
    <t>Neha Kapoor</t>
  </si>
  <si>
    <t>E0109</t>
  </si>
  <si>
    <t>Varun Kumar</t>
  </si>
  <si>
    <t>E0110</t>
  </si>
  <si>
    <t>Rahul Agarwal</t>
  </si>
  <si>
    <t>E0111</t>
  </si>
  <si>
    <t>Tanya Singh</t>
  </si>
  <si>
    <t>E0112</t>
  </si>
  <si>
    <t>E0113</t>
  </si>
  <si>
    <t>Kavya Agarwal</t>
  </si>
  <si>
    <t>E0114</t>
  </si>
  <si>
    <t>E0115</t>
  </si>
  <si>
    <t>E0116</t>
  </si>
  <si>
    <t>E0117</t>
  </si>
  <si>
    <t>Tanya Mishra</t>
  </si>
  <si>
    <t>E0118</t>
  </si>
  <si>
    <t>Arjun Agarwal</t>
  </si>
  <si>
    <t>E0119</t>
  </si>
  <si>
    <t>Vivaan Patel</t>
  </si>
  <si>
    <t>E0120</t>
  </si>
  <si>
    <t>Rohan Singh</t>
  </si>
  <si>
    <t>E0121</t>
  </si>
  <si>
    <t>E0122</t>
  </si>
  <si>
    <t>Aditya Joshi</t>
  </si>
  <si>
    <t>E0123</t>
  </si>
  <si>
    <t>Yash Bansal</t>
  </si>
  <si>
    <t>E0124</t>
  </si>
  <si>
    <t>E0125</t>
  </si>
  <si>
    <t>E0126</t>
  </si>
  <si>
    <t>Isha Kumar</t>
  </si>
  <si>
    <t>E0127</t>
  </si>
  <si>
    <t>Ankit Agarwal</t>
  </si>
  <si>
    <t>E0128</t>
  </si>
  <si>
    <t>Vikram Singh</t>
  </si>
  <si>
    <t>E0129</t>
  </si>
  <si>
    <t>Meera Singh</t>
  </si>
  <si>
    <t>E0130</t>
  </si>
  <si>
    <t>Aditya Singh</t>
  </si>
  <si>
    <t>E0131</t>
  </si>
  <si>
    <t>Aditya Agarwal</t>
  </si>
  <si>
    <t>E0132</t>
  </si>
  <si>
    <t>E0133</t>
  </si>
  <si>
    <t>E0134</t>
  </si>
  <si>
    <t>E0135</t>
  </si>
  <si>
    <t>E0136</t>
  </si>
  <si>
    <t>Isha Verma</t>
  </si>
  <si>
    <t>E0137</t>
  </si>
  <si>
    <t>Vikram Joshi</t>
  </si>
  <si>
    <t>E0138</t>
  </si>
  <si>
    <t>Vivaan Mehta</t>
  </si>
  <si>
    <t>E0139</t>
  </si>
  <si>
    <t>Pooja Kumar</t>
  </si>
  <si>
    <t>E0140</t>
  </si>
  <si>
    <t>E0141</t>
  </si>
  <si>
    <t>Sneha Singh</t>
  </si>
  <si>
    <t>E0142</t>
  </si>
  <si>
    <t>Arjun Malhotra</t>
  </si>
  <si>
    <t>E0143</t>
  </si>
  <si>
    <t>Aarav Singh</t>
  </si>
  <si>
    <t>E0144</t>
  </si>
  <si>
    <t>Neha Yadav</t>
  </si>
  <si>
    <t>E0145</t>
  </si>
  <si>
    <t>Yash Malhotra</t>
  </si>
  <si>
    <t>E0146</t>
  </si>
  <si>
    <t>Aditya Verma</t>
  </si>
  <si>
    <t>E0147</t>
  </si>
  <si>
    <t>Varun Yadav</t>
  </si>
  <si>
    <t>E0148</t>
  </si>
  <si>
    <t>E0149</t>
  </si>
  <si>
    <t>Rahul Mehta</t>
  </si>
  <si>
    <t>E0150</t>
  </si>
  <si>
    <t>Aditya Mehta</t>
  </si>
  <si>
    <t>E0151</t>
  </si>
  <si>
    <t>E0152</t>
  </si>
  <si>
    <t>Sahil Verma</t>
  </si>
  <si>
    <t>E0153</t>
  </si>
  <si>
    <t>Sahil Bansal</t>
  </si>
  <si>
    <t>E0154</t>
  </si>
  <si>
    <t>E0155</t>
  </si>
  <si>
    <t>Nisha Patel</t>
  </si>
  <si>
    <t>E0156</t>
  </si>
  <si>
    <t>E0157</t>
  </si>
  <si>
    <t>Riya Patel</t>
  </si>
  <si>
    <t>E0158</t>
  </si>
  <si>
    <t>Aman Joshi</t>
  </si>
  <si>
    <t>E0159</t>
  </si>
  <si>
    <t>Sahil Mehta</t>
  </si>
  <si>
    <t>E0160</t>
  </si>
  <si>
    <t>Aarav Kumar</t>
  </si>
  <si>
    <t>E0161</t>
  </si>
  <si>
    <t>Arjun Sharma</t>
  </si>
  <si>
    <t>E0162</t>
  </si>
  <si>
    <t>E0163</t>
  </si>
  <si>
    <t>Ananya Mehta</t>
  </si>
  <si>
    <t>E0164</t>
  </si>
  <si>
    <t>Meera Kapoor</t>
  </si>
  <si>
    <t>E0165</t>
  </si>
  <si>
    <t>Neha Verma</t>
  </si>
  <si>
    <t>E0166</t>
  </si>
  <si>
    <t>Neha Mishra</t>
  </si>
  <si>
    <t>E0167</t>
  </si>
  <si>
    <t>Arjun Singh</t>
  </si>
  <si>
    <t>E0168</t>
  </si>
  <si>
    <t>Yash Agarwal</t>
  </si>
  <si>
    <t>E0169</t>
  </si>
  <si>
    <t>Kabir Joshi</t>
  </si>
  <si>
    <t>E0170</t>
  </si>
  <si>
    <t>Yash Sharma</t>
  </si>
  <si>
    <t>E0171</t>
  </si>
  <si>
    <t>Simran Yadav</t>
  </si>
  <si>
    <t>E0172</t>
  </si>
  <si>
    <t>Simran Joshi</t>
  </si>
  <si>
    <t>E0173</t>
  </si>
  <si>
    <t>E0174</t>
  </si>
  <si>
    <t>E0175</t>
  </si>
  <si>
    <t>Aditya Patel</t>
  </si>
  <si>
    <t>E0176</t>
  </si>
  <si>
    <t>Rahul Verma</t>
  </si>
  <si>
    <t>E0177</t>
  </si>
  <si>
    <t>Kabir Yadav</t>
  </si>
  <si>
    <t>E0178</t>
  </si>
  <si>
    <t>Isha Malhotra</t>
  </si>
  <si>
    <t>E0179</t>
  </si>
  <si>
    <t>E0180</t>
  </si>
  <si>
    <t>E0181</t>
  </si>
  <si>
    <t>E0182</t>
  </si>
  <si>
    <t>Yash Yadav</t>
  </si>
  <si>
    <t>E0183</t>
  </si>
  <si>
    <t>E0184</t>
  </si>
  <si>
    <t>E0185</t>
  </si>
  <si>
    <t>E0186</t>
  </si>
  <si>
    <t>E0187</t>
  </si>
  <si>
    <t>Meera Joshi</t>
  </si>
  <si>
    <t>E0188</t>
  </si>
  <si>
    <t>Sahil Kumar</t>
  </si>
  <si>
    <t>E0189</t>
  </si>
  <si>
    <t>Kabir Sharma</t>
  </si>
  <si>
    <t>E0190</t>
  </si>
  <si>
    <t>E0191</t>
  </si>
  <si>
    <t>E0192</t>
  </si>
  <si>
    <t>E0193</t>
  </si>
  <si>
    <t>Nikhil Sharma</t>
  </si>
  <si>
    <t>E0194</t>
  </si>
  <si>
    <t>E0195</t>
  </si>
  <si>
    <t>Vivaan Malhotra</t>
  </si>
  <si>
    <t>E0196</t>
  </si>
  <si>
    <t>Sneha Yadav</t>
  </si>
  <si>
    <t>E0197</t>
  </si>
  <si>
    <t>E0198</t>
  </si>
  <si>
    <t>Vivaan Gupta</t>
  </si>
  <si>
    <t>E0199</t>
  </si>
  <si>
    <t>Neha Mehta</t>
  </si>
  <si>
    <t>E0200</t>
  </si>
  <si>
    <t>E0201</t>
  </si>
  <si>
    <t>E0202</t>
  </si>
  <si>
    <t>Riya Mehta</t>
  </si>
  <si>
    <t>E0203</t>
  </si>
  <si>
    <t>E0204</t>
  </si>
  <si>
    <t>Vivaan Kapoor</t>
  </si>
  <si>
    <t>E0205</t>
  </si>
  <si>
    <t>Aditya Malhotra</t>
  </si>
  <si>
    <t>E0206</t>
  </si>
  <si>
    <t>E0207</t>
  </si>
  <si>
    <t>Simran Singh</t>
  </si>
  <si>
    <t>E0208</t>
  </si>
  <si>
    <t>E0209</t>
  </si>
  <si>
    <t>E0210</t>
  </si>
  <si>
    <t>Vikram Verma</t>
  </si>
  <si>
    <t>E0211</t>
  </si>
  <si>
    <t>E0212</t>
  </si>
  <si>
    <t>Aditi Patel</t>
  </si>
  <si>
    <t>E0213</t>
  </si>
  <si>
    <t>Aarav Patel</t>
  </si>
  <si>
    <t>E0214</t>
  </si>
  <si>
    <t>Kavya Kapoor</t>
  </si>
  <si>
    <t>E0215</t>
  </si>
  <si>
    <t>E0216</t>
  </si>
  <si>
    <t>E0217</t>
  </si>
  <si>
    <t>E0218</t>
  </si>
  <si>
    <t>Vikram Malhotra</t>
  </si>
  <si>
    <t>E0219</t>
  </si>
  <si>
    <t>Neha Malhotra</t>
  </si>
  <si>
    <t>E0220</t>
  </si>
  <si>
    <t>Meera Bansal</t>
  </si>
  <si>
    <t>E0221</t>
  </si>
  <si>
    <t>E0222</t>
  </si>
  <si>
    <t>Ankit Joshi</t>
  </si>
  <si>
    <t>E0223</t>
  </si>
  <si>
    <t>Rahul Yadav</t>
  </si>
  <si>
    <t>E0224</t>
  </si>
  <si>
    <t>E0225</t>
  </si>
  <si>
    <t>Varun Bansal</t>
  </si>
  <si>
    <t>E0226</t>
  </si>
  <si>
    <t>E0227</t>
  </si>
  <si>
    <t>Varun Mishra</t>
  </si>
  <si>
    <t>E0228</t>
  </si>
  <si>
    <t>Ankit Mishra</t>
  </si>
  <si>
    <t>E0229</t>
  </si>
  <si>
    <t>Sahil Sharma</t>
  </si>
  <si>
    <t>E0230</t>
  </si>
  <si>
    <t>Meera Yadav</t>
  </si>
  <si>
    <t>E0231</t>
  </si>
  <si>
    <t>Priya Patel</t>
  </si>
  <si>
    <t>E0232</t>
  </si>
  <si>
    <t>E0233</t>
  </si>
  <si>
    <t>Rohan Mehta</t>
  </si>
  <si>
    <t>E0234</t>
  </si>
  <si>
    <t>Mera Bansal</t>
  </si>
  <si>
    <t>E0235</t>
  </si>
  <si>
    <t>E0236</t>
  </si>
  <si>
    <t>Rohan Mishra</t>
  </si>
  <si>
    <t>E0237</t>
  </si>
  <si>
    <t>Vivaan Yadav</t>
  </si>
  <si>
    <t>E0238</t>
  </si>
  <si>
    <t>Neha Agarwal</t>
  </si>
  <si>
    <t>E0239</t>
  </si>
  <si>
    <t>E0240</t>
  </si>
  <si>
    <t>Pooja Agarwal</t>
  </si>
  <si>
    <t>E0241</t>
  </si>
  <si>
    <t>E0242</t>
  </si>
  <si>
    <t>Rahul Joshi</t>
  </si>
  <si>
    <t>E0243</t>
  </si>
  <si>
    <t>E0244</t>
  </si>
  <si>
    <t>E0245</t>
  </si>
  <si>
    <t>E0246</t>
  </si>
  <si>
    <t>E0247</t>
  </si>
  <si>
    <t>Aarav Mishra</t>
  </si>
  <si>
    <t>E0248</t>
  </si>
  <si>
    <t>Ankit Malhotra</t>
  </si>
  <si>
    <t>E0249</t>
  </si>
  <si>
    <t>Nisha Singh</t>
  </si>
  <si>
    <t>E0250</t>
  </si>
  <si>
    <t>E0251</t>
  </si>
  <si>
    <t>Shreya Singh</t>
  </si>
  <si>
    <t>E0252</t>
  </si>
  <si>
    <t>Kavya Singh</t>
  </si>
  <si>
    <t>E0253</t>
  </si>
  <si>
    <t>Rohan Yadav</t>
  </si>
  <si>
    <t>E0254</t>
  </si>
  <si>
    <t>E0255</t>
  </si>
  <si>
    <t>Rahul Gupta</t>
  </si>
  <si>
    <t>E0256</t>
  </si>
  <si>
    <t>E0257</t>
  </si>
  <si>
    <t>Sahil Yadav</t>
  </si>
  <si>
    <t>E0258</t>
  </si>
  <si>
    <t>E0259</t>
  </si>
  <si>
    <t>Neha Joshi</t>
  </si>
  <si>
    <t>E0260</t>
  </si>
  <si>
    <t>Rohan Patel</t>
  </si>
  <si>
    <t>E0261</t>
  </si>
  <si>
    <t>Aditya Mishra</t>
  </si>
  <si>
    <t>E0262</t>
  </si>
  <si>
    <t>Riya Sharma</t>
  </si>
  <si>
    <t>E0263</t>
  </si>
  <si>
    <t>Nikhil Patel</t>
  </si>
  <si>
    <t>E0264</t>
  </si>
  <si>
    <t>E0265</t>
  </si>
  <si>
    <t>E0266</t>
  </si>
  <si>
    <t>E0267</t>
  </si>
  <si>
    <t>E0268</t>
  </si>
  <si>
    <t>Sahil Singh</t>
  </si>
  <si>
    <t>E0269</t>
  </si>
  <si>
    <t>E0270</t>
  </si>
  <si>
    <t>Karan Kapoor</t>
  </si>
  <si>
    <t>E0271</t>
  </si>
  <si>
    <t>Kabir Mishra</t>
  </si>
  <si>
    <t>E0272</t>
  </si>
  <si>
    <t>E0273</t>
  </si>
  <si>
    <t>Vivaan Mishra</t>
  </si>
  <si>
    <t>E0274</t>
  </si>
  <si>
    <t>E0275</t>
  </si>
  <si>
    <t>Varun Singh</t>
  </si>
  <si>
    <t>E0276</t>
  </si>
  <si>
    <t>Priya Mehta</t>
  </si>
  <si>
    <t>E0277</t>
  </si>
  <si>
    <t>E0278</t>
  </si>
  <si>
    <t>Pooja Yadav</t>
  </si>
  <si>
    <t>E0279</t>
  </si>
  <si>
    <t>Mera Kumar</t>
  </si>
  <si>
    <t>E0280</t>
  </si>
  <si>
    <t>Nisha Kumar</t>
  </si>
  <si>
    <t>E0281</t>
  </si>
  <si>
    <t>E0282</t>
  </si>
  <si>
    <t>E0283</t>
  </si>
  <si>
    <t>Riya Singh</t>
  </si>
  <si>
    <t>E0284</t>
  </si>
  <si>
    <t>E0285</t>
  </si>
  <si>
    <t>Riya Malhotra</t>
  </si>
  <si>
    <t>E0286</t>
  </si>
  <si>
    <t>Neha Sharma</t>
  </si>
  <si>
    <t>E0287</t>
  </si>
  <si>
    <t>Nikhil Singh</t>
  </si>
  <si>
    <t>E0288</t>
  </si>
  <si>
    <t>Pooja Joshi</t>
  </si>
  <si>
    <t>E0289</t>
  </si>
  <si>
    <t>E0290</t>
  </si>
  <si>
    <t>Neha Singh</t>
  </si>
  <si>
    <t>E0291</t>
  </si>
  <si>
    <t>E0292</t>
  </si>
  <si>
    <t>E0293</t>
  </si>
  <si>
    <t>E0294</t>
  </si>
  <si>
    <t>Aman Sharma</t>
  </si>
  <si>
    <t>E0295</t>
  </si>
  <si>
    <t>Rohan Bansal</t>
  </si>
  <si>
    <t>E0296</t>
  </si>
  <si>
    <t>Ankit Singh</t>
  </si>
  <si>
    <t>E0297</t>
  </si>
  <si>
    <t>Varun Agarwal</t>
  </si>
  <si>
    <t>E0298</t>
  </si>
  <si>
    <t>Karan Bansal</t>
  </si>
  <si>
    <t>E0299</t>
  </si>
  <si>
    <t>E0300</t>
  </si>
  <si>
    <t>E0301</t>
  </si>
  <si>
    <t>E0302</t>
  </si>
  <si>
    <t>E0303</t>
  </si>
  <si>
    <t>E0304</t>
  </si>
  <si>
    <t>E0305</t>
  </si>
  <si>
    <t>Pooja Mehta</t>
  </si>
  <si>
    <t>E0306</t>
  </si>
  <si>
    <t>Mera Agarwal</t>
  </si>
  <si>
    <t>E0307</t>
  </si>
  <si>
    <t>Yash Verma</t>
  </si>
  <si>
    <t>E0308</t>
  </si>
  <si>
    <t>E0309</t>
  </si>
  <si>
    <t>E0310</t>
  </si>
  <si>
    <t>Ananya Agarwal</t>
  </si>
  <si>
    <t>E0311</t>
  </si>
  <si>
    <t>E0312</t>
  </si>
  <si>
    <t>E0313</t>
  </si>
  <si>
    <t>E0314</t>
  </si>
  <si>
    <t>E0315</t>
  </si>
  <si>
    <t>E0316</t>
  </si>
  <si>
    <t>Ananya Malhotra</t>
  </si>
  <si>
    <t>E0317</t>
  </si>
  <si>
    <t>E0318</t>
  </si>
  <si>
    <t>E0319</t>
  </si>
  <si>
    <t>Mera Verma</t>
  </si>
  <si>
    <t>E0320</t>
  </si>
  <si>
    <t>E0321</t>
  </si>
  <si>
    <t>E0322</t>
  </si>
  <si>
    <t>Nisha Kapoor</t>
  </si>
  <si>
    <t>E0323</t>
  </si>
  <si>
    <t>Karan Agarwal</t>
  </si>
  <si>
    <t>E0324</t>
  </si>
  <si>
    <t>E0325</t>
  </si>
  <si>
    <t>Ananya Verma</t>
  </si>
  <si>
    <t>E0326</t>
  </si>
  <si>
    <t>E0327</t>
  </si>
  <si>
    <t>Tanya Joshi</t>
  </si>
  <si>
    <t>E0328</t>
  </si>
  <si>
    <t>Arjun Kumar</t>
  </si>
  <si>
    <t>E0329</t>
  </si>
  <si>
    <t>E0330</t>
  </si>
  <si>
    <t>Mera Gupta</t>
  </si>
  <si>
    <t>E0331</t>
  </si>
  <si>
    <t>E0332</t>
  </si>
  <si>
    <t>Kavya Bansal</t>
  </si>
  <si>
    <t>E0333</t>
  </si>
  <si>
    <t>Ankit Sharma</t>
  </si>
  <si>
    <t>E0334</t>
  </si>
  <si>
    <t>E0335</t>
  </si>
  <si>
    <t>Sneha Kapoor</t>
  </si>
  <si>
    <t>E0336</t>
  </si>
  <si>
    <t>Yash Gupta</t>
  </si>
  <si>
    <t>E0337</t>
  </si>
  <si>
    <t>Vikram Agarwal</t>
  </si>
  <si>
    <t>E0338</t>
  </si>
  <si>
    <t>Aditi Sharma</t>
  </si>
  <si>
    <t>E0339</t>
  </si>
  <si>
    <t>Ankit Yadav</t>
  </si>
  <si>
    <t>E0340</t>
  </si>
  <si>
    <t>Nisha Sharma</t>
  </si>
  <si>
    <t>E0341</t>
  </si>
  <si>
    <t>Kabir Kapoor</t>
  </si>
  <si>
    <t>E0342</t>
  </si>
  <si>
    <t>E0343</t>
  </si>
  <si>
    <t>E0344</t>
  </si>
  <si>
    <t>E0345</t>
  </si>
  <si>
    <t>E0346</t>
  </si>
  <si>
    <t>Shreya Malhotra</t>
  </si>
  <si>
    <t>E0347</t>
  </si>
  <si>
    <t>Arjun Bansal</t>
  </si>
  <si>
    <t>E0348</t>
  </si>
  <si>
    <t>E0349</t>
  </si>
  <si>
    <t>Pooja Malhotra</t>
  </si>
  <si>
    <t>E0350</t>
  </si>
  <si>
    <t>E0351</t>
  </si>
  <si>
    <t>Aarav Kapoor</t>
  </si>
  <si>
    <t>E0352</t>
  </si>
  <si>
    <t>Riya Agarwal</t>
  </si>
  <si>
    <t>E0353</t>
  </si>
  <si>
    <t>E0354</t>
  </si>
  <si>
    <t>E0355</t>
  </si>
  <si>
    <t>Sneha Verma</t>
  </si>
  <si>
    <t>E0356</t>
  </si>
  <si>
    <t>Karan Mishra</t>
  </si>
  <si>
    <t>E0357</t>
  </si>
  <si>
    <t>Vikram Mishra</t>
  </si>
  <si>
    <t>E0358</t>
  </si>
  <si>
    <t>E0359</t>
  </si>
  <si>
    <t>Sahil Patel</t>
  </si>
  <si>
    <t>E0360</t>
  </si>
  <si>
    <t>Aarav Yadav</t>
  </si>
  <si>
    <t>E0361</t>
  </si>
  <si>
    <t>Neha Gupta</t>
  </si>
  <si>
    <t>E0362</t>
  </si>
  <si>
    <t>E0363</t>
  </si>
  <si>
    <t>E0364</t>
  </si>
  <si>
    <t>Vivaan Kumar</t>
  </si>
  <si>
    <t>E0365</t>
  </si>
  <si>
    <t>E0366</t>
  </si>
  <si>
    <t>E0367</t>
  </si>
  <si>
    <t>E0368</t>
  </si>
  <si>
    <t>E0369</t>
  </si>
  <si>
    <t>E0370</t>
  </si>
  <si>
    <t>E0371</t>
  </si>
  <si>
    <t>Karan Mehta</t>
  </si>
  <si>
    <t>E0372</t>
  </si>
  <si>
    <t>Rohan Kumar</t>
  </si>
  <si>
    <t>E0373</t>
  </si>
  <si>
    <t>Tanya Gupta</t>
  </si>
  <si>
    <t>E0374</t>
  </si>
  <si>
    <t>Riya Yadav</t>
  </si>
  <si>
    <t>E0375</t>
  </si>
  <si>
    <t>Riya Mishra</t>
  </si>
  <si>
    <t>E0376</t>
  </si>
  <si>
    <t>Rahul Sharma</t>
  </si>
  <si>
    <t>E0377</t>
  </si>
  <si>
    <t>E0378</t>
  </si>
  <si>
    <t>E0379</t>
  </si>
  <si>
    <t>E0380</t>
  </si>
  <si>
    <t>E0381</t>
  </si>
  <si>
    <t>Kabir Agarwal</t>
  </si>
  <si>
    <t>E0382</t>
  </si>
  <si>
    <t>Sneha Kumar</t>
  </si>
  <si>
    <t>E0383</t>
  </si>
  <si>
    <t>E0384</t>
  </si>
  <si>
    <t>E0385</t>
  </si>
  <si>
    <t>Priya Kapoor</t>
  </si>
  <si>
    <t>E0386</t>
  </si>
  <si>
    <t>E0387</t>
  </si>
  <si>
    <t>Nisha Bansal</t>
  </si>
  <si>
    <t>E0388</t>
  </si>
  <si>
    <t>E0389</t>
  </si>
  <si>
    <t>Mera Sharma</t>
  </si>
  <si>
    <t>E0390</t>
  </si>
  <si>
    <t>E0391</t>
  </si>
  <si>
    <t>Vivaan Verma</t>
  </si>
  <si>
    <t>E0392</t>
  </si>
  <si>
    <t>E0393</t>
  </si>
  <si>
    <t>E0394</t>
  </si>
  <si>
    <t>Neha Patel</t>
  </si>
  <si>
    <t>E0395</t>
  </si>
  <si>
    <t>Aman Mishra</t>
  </si>
  <si>
    <t>E0396</t>
  </si>
  <si>
    <t>E0397</t>
  </si>
  <si>
    <t>E0398</t>
  </si>
  <si>
    <t>E0399</t>
  </si>
  <si>
    <t>E0400</t>
  </si>
  <si>
    <t>E0401</t>
  </si>
  <si>
    <t>E0402</t>
  </si>
  <si>
    <t>E0403</t>
  </si>
  <si>
    <t>Karan Malhotra</t>
  </si>
  <si>
    <t>E0404</t>
  </si>
  <si>
    <t>E0405</t>
  </si>
  <si>
    <t>Isha Yadav</t>
  </si>
  <si>
    <t>E0406</t>
  </si>
  <si>
    <t>E0407</t>
  </si>
  <si>
    <t>E0408</t>
  </si>
  <si>
    <t>E0409</t>
  </si>
  <si>
    <t>Aditi Bansal</t>
  </si>
  <si>
    <t>E0410</t>
  </si>
  <si>
    <t>E0411</t>
  </si>
  <si>
    <t>E0412</t>
  </si>
  <si>
    <t>E0413</t>
  </si>
  <si>
    <t>Pooja Gupta</t>
  </si>
  <si>
    <t>E0414</t>
  </si>
  <si>
    <t>E0415</t>
  </si>
  <si>
    <t>E0416</t>
  </si>
  <si>
    <t>E0417</t>
  </si>
  <si>
    <t>E0418</t>
  </si>
  <si>
    <t>E0419</t>
  </si>
  <si>
    <t>Meera Mehta</t>
  </si>
  <si>
    <t>E0420</t>
  </si>
  <si>
    <t>Ankit Verma</t>
  </si>
  <si>
    <t>E0421</t>
  </si>
  <si>
    <t>E0422</t>
  </si>
  <si>
    <t>Vikram Bansal</t>
  </si>
  <si>
    <t>E0423</t>
  </si>
  <si>
    <t>E0424</t>
  </si>
  <si>
    <t>Arjun Mehta</t>
  </si>
  <si>
    <t>E0425</t>
  </si>
  <si>
    <t>Aditi Gupta</t>
  </si>
  <si>
    <t>E0426</t>
  </si>
  <si>
    <t>E0427</t>
  </si>
  <si>
    <t>Varun Patel</t>
  </si>
  <si>
    <t>E0428</t>
  </si>
  <si>
    <t>E0429</t>
  </si>
  <si>
    <t>E0430</t>
  </si>
  <si>
    <t>Yash Kumar</t>
  </si>
  <si>
    <t>E0431</t>
  </si>
  <si>
    <t>Meera Sharma</t>
  </si>
  <si>
    <t>E0432</t>
  </si>
  <si>
    <t>E0433</t>
  </si>
  <si>
    <t>E0434</t>
  </si>
  <si>
    <t>Karan Patel</t>
  </si>
  <si>
    <t>E0435</t>
  </si>
  <si>
    <t>E0436</t>
  </si>
  <si>
    <t>Tanya Kumar</t>
  </si>
  <si>
    <t>E0437</t>
  </si>
  <si>
    <t>Mera Singh</t>
  </si>
  <si>
    <t>E0438</t>
  </si>
  <si>
    <t>Nikhil Mehta</t>
  </si>
  <si>
    <t>E0439</t>
  </si>
  <si>
    <t>E0440</t>
  </si>
  <si>
    <t>E0441</t>
  </si>
  <si>
    <t>E0442</t>
  </si>
  <si>
    <t>E0443</t>
  </si>
  <si>
    <t>Rahul Kapoor</t>
  </si>
  <si>
    <t>E0444</t>
  </si>
  <si>
    <t>E0445</t>
  </si>
  <si>
    <t>E0446</t>
  </si>
  <si>
    <t>Nikhil Agarwal</t>
  </si>
  <si>
    <t>E0447</t>
  </si>
  <si>
    <t>E0448</t>
  </si>
  <si>
    <t>E0449</t>
  </si>
  <si>
    <t>E0450</t>
  </si>
  <si>
    <t>Isha Singh</t>
  </si>
  <si>
    <t>E0451</t>
  </si>
  <si>
    <t>E0452</t>
  </si>
  <si>
    <t>E0453</t>
  </si>
  <si>
    <t>E0454</t>
  </si>
  <si>
    <t>E0455</t>
  </si>
  <si>
    <t>Yash Kapoor</t>
  </si>
  <si>
    <t>E0456</t>
  </si>
  <si>
    <t>E0457</t>
  </si>
  <si>
    <t>Ananya Mishra</t>
  </si>
  <si>
    <t>E0458</t>
  </si>
  <si>
    <t>Simran Sharma</t>
  </si>
  <si>
    <t>E0459</t>
  </si>
  <si>
    <t>Yash Mehta</t>
  </si>
  <si>
    <t>E0460</t>
  </si>
  <si>
    <t>E0461</t>
  </si>
  <si>
    <t>E0462</t>
  </si>
  <si>
    <t>Sahil Kapoor</t>
  </si>
  <si>
    <t>E0463</t>
  </si>
  <si>
    <t>E0464</t>
  </si>
  <si>
    <t>E0465</t>
  </si>
  <si>
    <t>E0466</t>
  </si>
  <si>
    <t>Riya Verma</t>
  </si>
  <si>
    <t>E0467</t>
  </si>
  <si>
    <t>Rahul Patel</t>
  </si>
  <si>
    <t>E0468</t>
  </si>
  <si>
    <t>Varun Mehta</t>
  </si>
  <si>
    <t>E0469</t>
  </si>
  <si>
    <t>Isha Agarwal</t>
  </si>
  <si>
    <t>E0470</t>
  </si>
  <si>
    <t>E0471</t>
  </si>
  <si>
    <t>Mera Joshi</t>
  </si>
  <si>
    <t>E0472</t>
  </si>
  <si>
    <t>E0473</t>
  </si>
  <si>
    <t>Mera Patel</t>
  </si>
  <si>
    <t>E0474</t>
  </si>
  <si>
    <t>Neha Bansal</t>
  </si>
  <si>
    <t>E0475</t>
  </si>
  <si>
    <t>E0476</t>
  </si>
  <si>
    <t>E0477</t>
  </si>
  <si>
    <t>E0478</t>
  </si>
  <si>
    <t>Shreya Mishra</t>
  </si>
  <si>
    <t>E0479</t>
  </si>
  <si>
    <t>E0480</t>
  </si>
  <si>
    <t>E0481</t>
  </si>
  <si>
    <t>Priya Mishra</t>
  </si>
  <si>
    <t>E0482</t>
  </si>
  <si>
    <t>E0483</t>
  </si>
  <si>
    <t>E0484</t>
  </si>
  <si>
    <t>E0485</t>
  </si>
  <si>
    <t>E0486</t>
  </si>
  <si>
    <t>E0487</t>
  </si>
  <si>
    <t>E0488</t>
  </si>
  <si>
    <t>E0489</t>
  </si>
  <si>
    <t>E0490</t>
  </si>
  <si>
    <t>Kavya Malhotra</t>
  </si>
  <si>
    <t>E0491</t>
  </si>
  <si>
    <t>Sneha Patel</t>
  </si>
  <si>
    <t>E0492</t>
  </si>
  <si>
    <t>E0493</t>
  </si>
  <si>
    <t>Aman Agarwal</t>
  </si>
  <si>
    <t>E0494</t>
  </si>
  <si>
    <t>E0495</t>
  </si>
  <si>
    <t>E0496</t>
  </si>
  <si>
    <t>E0497</t>
  </si>
  <si>
    <t>E0498</t>
  </si>
  <si>
    <t>E0499</t>
  </si>
  <si>
    <t>Varun Sharma</t>
  </si>
  <si>
    <t>E0500</t>
  </si>
  <si>
    <t>Top 5 employee average Perfomance score</t>
  </si>
  <si>
    <t>Total employees</t>
  </si>
  <si>
    <t>active employees</t>
  </si>
  <si>
    <t>inactive employees</t>
  </si>
  <si>
    <t>Avg  Salary</t>
  </si>
  <si>
    <t>Avg  Experience</t>
  </si>
  <si>
    <t>Avg Performance_</t>
  </si>
  <si>
    <t>Avg Performance_Score</t>
  </si>
  <si>
    <t>Count of Employee_Name</t>
  </si>
  <si>
    <t>Count of Employee_ID</t>
  </si>
  <si>
    <t>Grand Total</t>
  </si>
  <si>
    <t>Average of Salary</t>
  </si>
  <si>
    <t>Average of Performance_Score</t>
  </si>
  <si>
    <t>active emp</t>
  </si>
  <si>
    <t>inactive emp</t>
  </si>
  <si>
    <t>Avg Performance</t>
  </si>
  <si>
    <t>Report 1</t>
  </si>
  <si>
    <t>Report 2</t>
  </si>
  <si>
    <t>Report 3</t>
  </si>
  <si>
    <t>Report 9</t>
  </si>
  <si>
    <t>Employee by Department</t>
  </si>
  <si>
    <t>Employee by location</t>
  </si>
  <si>
    <t>total Employee</t>
  </si>
  <si>
    <t>Name</t>
  </si>
  <si>
    <t>Report 4</t>
  </si>
  <si>
    <t>Report 6</t>
  </si>
  <si>
    <t>Report 7</t>
  </si>
  <si>
    <t>Report 8</t>
  </si>
  <si>
    <t xml:space="preserve">Average Salary by Department
</t>
  </si>
  <si>
    <t xml:space="preserve">Avg Performance Score by Department
</t>
  </si>
  <si>
    <t xml:space="preserve">New Hiers Trend by Year
</t>
  </si>
  <si>
    <t>Gender Distribution</t>
  </si>
  <si>
    <t>Average Salary</t>
  </si>
  <si>
    <t>Avg Performance Score</t>
  </si>
  <si>
    <t>total Employee_ID</t>
  </si>
  <si>
    <t>Report 5</t>
  </si>
  <si>
    <t xml:space="preserve">Employees by Experience (year)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</si>
</sst>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3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₹&quot;#,##0_);[Red]\(&quot;₹&quot;#,##0\)"/>
    <numFmt numFmtId="181" formatCode="0.0_ "/>
    <numFmt numFmtId="182" formatCode="0.0"/>
    <numFmt numFmtId="183" formatCode="dd/mm/yyyy"/>
    <numFmt numFmtId="184" formatCode="&quot;₹&quot;#,##0"/>
    <numFmt numFmtId="185" formatCode="dd/mmm/yyyy"/>
    <numFmt numFmtId="186" formatCode="dd/mmm/yyyy"/>
    <numFmt numFmtId="187" formatCode="dd/mmm/yyyy"/>
    <numFmt numFmtId="188" formatCode="dd/mmm/yyyy"/>
    <numFmt numFmtId="189" formatCode="dd/mmm/yyyy"/>
    <numFmt numFmtId="190" formatCode="dd/mmm/yyyy"/>
    <numFmt numFmtId="191" formatCode="dd/mmm/yyyy"/>
    <numFmt numFmtId="192" formatCode="dd/mmm/yyyy"/>
    <numFmt numFmtId="193" formatCode="dd/mmm/yyyy"/>
    <numFmt numFmtId="194" formatCode="dd/mmm/yyyy"/>
    <numFmt numFmtId="195" formatCode="dd/mmm/yyyy"/>
    <numFmt numFmtId="196" formatCode="dd/mmm/yyyy"/>
    <numFmt numFmtId="197" formatCode="dd/mmm/yyyy"/>
    <numFmt numFmtId="198" formatCode="dd/mmm/yyyy"/>
    <numFmt numFmtId="199" formatCode="dd/mmm/yyyy"/>
    <numFmt numFmtId="200" formatCode="dd/mmm/yyyy"/>
    <numFmt numFmtId="201" formatCode="dd/mmm/yyyy"/>
    <numFmt numFmtId="202" formatCode="dd/mmm/yyyy"/>
    <numFmt numFmtId="203" formatCode="dd/mmm/yyyy"/>
    <numFmt numFmtId="204" formatCode="dd/mmm/yyyy"/>
    <numFmt numFmtId="205" formatCode="dd/mmm/yyyy"/>
    <numFmt numFmtId="206" formatCode="dd/mmm/yyyy"/>
    <numFmt numFmtId="207" formatCode="dd/mmm/yyyy"/>
    <numFmt numFmtId="208" formatCode="dd/mmm/yyyy"/>
    <numFmt numFmtId="209" formatCode="dd/mmm/yyyy"/>
    <numFmt numFmtId="210" formatCode="dd/mmm/yyyy"/>
    <numFmt numFmtId="211" formatCode="dd/mmm/yyyy"/>
    <numFmt numFmtId="212" formatCode="dd/mmm/yyyy"/>
    <numFmt numFmtId="213" formatCode="dd/mmm/yyyy"/>
  </numFmts>
  <fonts count="30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12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3" tint="-0.25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-0.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1F4E3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auto="1"/>
      </right>
      <top style="thin">
        <color indexed="0"/>
      </top>
      <bottom style="thin">
        <color indexed="0"/>
      </bottom>
      <diagonal/>
    </border>
    <border>
      <left/>
      <right/>
      <top/>
      <bottom style="thin">
        <color theme="4" tint="0.399975585192419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1" borderId="1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2" borderId="16" applyNumberFormat="0" applyAlignment="0" applyProtection="0">
      <alignment vertical="center"/>
    </xf>
    <xf numFmtId="0" fontId="20" fillId="13" borderId="17" applyNumberFormat="0" applyAlignment="0" applyProtection="0">
      <alignment vertical="center"/>
    </xf>
    <xf numFmtId="0" fontId="21" fillId="13" borderId="16" applyNumberFormat="0" applyAlignment="0" applyProtection="0">
      <alignment vertical="center"/>
    </xf>
    <xf numFmtId="0" fontId="22" fillId="14" borderId="18" applyNumberFormat="0" applyAlignment="0" applyProtection="0">
      <alignment vertical="center"/>
    </xf>
    <xf numFmtId="0" fontId="23" fillId="0" borderId="19" applyNumberFormat="0" applyFill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</cellStyleXfs>
  <cellXfs count="49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vertical="center"/>
    </xf>
    <xf numFmtId="0" fontId="0" fillId="2" borderId="0" xfId="0" applyFill="1"/>
    <xf numFmtId="0" fontId="0" fillId="3" borderId="0" xfId="0" applyFill="1"/>
    <xf numFmtId="0" fontId="0" fillId="2" borderId="0" xfId="0" applyFill="1" applyAlignment="1">
      <alignment vertical="center"/>
    </xf>
    <xf numFmtId="0" fontId="3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5" borderId="0" xfId="0" applyFont="1" applyFill="1"/>
    <xf numFmtId="180" fontId="0" fillId="0" borderId="0" xfId="0" applyNumberFormat="1"/>
    <xf numFmtId="181" fontId="0" fillId="0" borderId="0" xfId="0" applyNumberFormat="1"/>
    <xf numFmtId="0" fontId="2" fillId="6" borderId="0" xfId="0" applyFont="1" applyFill="1"/>
    <xf numFmtId="0" fontId="0" fillId="0" borderId="0" xfId="0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7" borderId="0" xfId="0" applyFont="1" applyFill="1" applyAlignment="1">
      <alignment horizontal="center" vertical="center" wrapText="1"/>
    </xf>
    <xf numFmtId="0" fontId="7" fillId="7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80" fontId="0" fillId="0" borderId="0" xfId="0" applyNumberFormat="1" applyAlignment="1">
      <alignment vertical="center"/>
    </xf>
    <xf numFmtId="0" fontId="7" fillId="8" borderId="0" xfId="0" applyFont="1" applyFill="1" applyAlignment="1">
      <alignment horizontal="center" vertical="center" wrapText="1"/>
    </xf>
    <xf numFmtId="0" fontId="6" fillId="8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4" fillId="9" borderId="3" xfId="0" applyFont="1" applyFill="1" applyBorder="1"/>
    <xf numFmtId="0" fontId="4" fillId="0" borderId="1" xfId="0" applyFont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0" fillId="10" borderId="0" xfId="0" applyFont="1" applyFill="1" applyAlignment="1">
      <alignment horizontal="center"/>
    </xf>
    <xf numFmtId="0" fontId="0" fillId="0" borderId="0" xfId="0" applyAlignment="1">
      <alignment horizontal="center"/>
    </xf>
    <xf numFmtId="182" fontId="0" fillId="0" borderId="0" xfId="0" applyNumberFormat="1" applyAlignment="1">
      <alignment horizontal="center"/>
    </xf>
    <xf numFmtId="183" fontId="0" fillId="0" borderId="0" xfId="0" applyNumberFormat="1"/>
    <xf numFmtId="183" fontId="10" fillId="10" borderId="0" xfId="0" applyNumberFormat="1" applyFont="1" applyFill="1" applyAlignment="1">
      <alignment horizontal="center"/>
    </xf>
    <xf numFmtId="183" fontId="0" fillId="0" borderId="0" xfId="0" applyNumberFormat="1" applyAlignment="1">
      <alignment horizontal="center"/>
    </xf>
    <xf numFmtId="184" fontId="0" fillId="0" borderId="0" xfId="0" applyNumberForma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00">
    <dxf>
      <numFmt numFmtId="214" formatCode="0.00_ "/>
    </dxf>
    <dxf>
      <numFmt numFmtId="181" formatCode="0.0_ "/>
    </dxf>
    <dxf>
      <numFmt numFmtId="215" formatCode="0_ "/>
    </dxf>
    <dxf>
      <numFmt numFmtId="216" formatCode="&quot;₹&quot;#,##0.00_);[Red]\(&quot;₹&quot;#,##0.00\)"/>
    </dxf>
    <dxf>
      <numFmt numFmtId="217" formatCode="&quot;₹&quot;#,##0.0_);[Red]\(&quot;₹&quot;#,##0.0\)"/>
    </dxf>
    <dxf>
      <numFmt numFmtId="180" formatCode="&quot;₹&quot;#,##0_);[Red]\(&quot;₹&quot;#,##0\)"/>
    </dxf>
    <dxf>
      <numFmt numFmtId="218" formatCode="0.00000_ "/>
    </dxf>
    <dxf>
      <numFmt numFmtId="219" formatCode="0.0000_ "/>
    </dxf>
    <dxf>
      <numFmt numFmtId="220" formatCode="0.000_ "/>
    </dxf>
    <dxf>
      <numFmt numFmtId="221" formatCode="0.00_ "/>
    </dxf>
    <dxf>
      <numFmt numFmtId="181" formatCode="0.0_ "/>
    </dxf>
    <dxf>
      <numFmt numFmtId="222" formatCode="0.00_ "/>
    </dxf>
    <dxf>
      <numFmt numFmtId="181" formatCode="0.0_ "/>
    </dxf>
    <dxf>
      <numFmt numFmtId="177" formatCode="_ &quot;₹&quot;* #,##0.00_ ;_ &quot;₹&quot;* \-#,##0.00_ ;_ &quot;₹&quot;* &quot;-&quot;??_ ;_ @_ "/>
    </dxf>
    <dxf>
      <numFmt numFmtId="223" formatCode="_ &quot;₹&quot;* #,##0.0_ ;_ &quot;₹&quot;* \-#,##0.0_ ;_ &quot;₹&quot;* &quot;-&quot;??_ ;_ @_ "/>
    </dxf>
    <dxf>
      <numFmt numFmtId="224" formatCode="_ &quot;₹&quot;* #,##0_ ;_ &quot;₹&quot;* \-#,##0_ ;_ &quot;₹&quot;* &quot;-&quot;??_ ;_ @_ "/>
    </dxf>
    <dxf>
      <numFmt numFmtId="225" formatCode="&quot;₹&quot;#,##0.00_);[Red]\(&quot;₹&quot;#,##0.00\)"/>
    </dxf>
    <dxf>
      <numFmt numFmtId="226" formatCode="&quot;₹&quot;#,##0.0_);[Red]\(&quot;₹&quot;#,##0.0\)"/>
    </dxf>
    <dxf>
      <numFmt numFmtId="180" formatCode="&quot;₹&quot;#,##0_);[Red]\(&quot;₹&quot;#,##0\)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alignment horizontal="center"/>
    </dxf>
    <dxf>
      <font>
        <sz val="12"/>
      </font>
    </dxf>
    <dxf>
      <font>
        <b val="1"/>
      </font>
    </dxf>
    <dxf>
      <font>
        <sz val="11"/>
      </font>
    </dxf>
    <dxf>
      <numFmt numFmtId="227" formatCode="0.000_ "/>
    </dxf>
    <dxf>
      <numFmt numFmtId="228" formatCode="0.00_ "/>
    </dxf>
    <dxf>
      <numFmt numFmtId="181" formatCode="0.0_ "/>
    </dxf>
    <dxf>
      <numFmt numFmtId="229" formatCode="0.000_ "/>
    </dxf>
    <dxf>
      <numFmt numFmtId="230" formatCode="0.00_ "/>
    </dxf>
    <dxf>
      <numFmt numFmtId="181" formatCode="0.0_ "/>
    </dxf>
    <dxf>
      <numFmt numFmtId="231" formatCode="0_ "/>
    </dxf>
    <dxf>
      <numFmt numFmtId="181" formatCode="0.0_ "/>
    </dxf>
    <dxf>
      <numFmt numFmtId="232" formatCode="0.00_ "/>
    </dxf>
    <dxf>
      <numFmt numFmtId="181" formatCode="0.0_ "/>
    </dxf>
    <dxf>
      <numFmt numFmtId="233" formatCode="0_ "/>
    </dxf>
    <dxf>
      <numFmt numFmtId="234" formatCode="&quot;₹&quot;#,##0.00_);[Red]\(&quot;₹&quot;#,##0.00\)"/>
    </dxf>
    <dxf>
      <numFmt numFmtId="235" formatCode="&quot;₹&quot;#,##0.0_);[Red]\(&quot;₹&quot;#,##0.0\)"/>
    </dxf>
    <dxf>
      <numFmt numFmtId="180" formatCode="&quot;₹&quot;#,##0_);[Red]\(&quot;₹&quot;#,##0\)"/>
    </dxf>
    <dxf>
      <alignment vertical="center"/>
    </dxf>
    <dxf>
      <numFmt numFmtId="236" formatCode="0.00000_ "/>
    </dxf>
    <dxf>
      <numFmt numFmtId="237" formatCode="0.0000_ "/>
    </dxf>
    <dxf>
      <numFmt numFmtId="238" formatCode="0.000_ "/>
    </dxf>
    <dxf>
      <numFmt numFmtId="239" formatCode="0.00_ "/>
    </dxf>
    <dxf>
      <numFmt numFmtId="181" formatCode="0.0_ "/>
    </dxf>
    <dxf>
      <numFmt numFmtId="240" formatCode="0.00_ "/>
    </dxf>
    <dxf>
      <numFmt numFmtId="181" formatCode="0.0_ 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alignment horizontal="center"/>
    </dxf>
    <dxf>
      <font>
        <sz val="12"/>
      </font>
    </dxf>
    <dxf>
      <font>
        <b val="1"/>
      </font>
    </dxf>
    <dxf>
      <font>
        <sz val="11"/>
      </font>
    </dxf>
    <dxf>
      <font>
        <sz val="12"/>
      </font>
    </dxf>
    <dxf>
      <font>
        <sz val="12"/>
      </font>
    </dxf>
    <dxf>
      <alignment horizontal="left"/>
    </dxf>
    <dxf>
      <alignment horizontal="left"/>
    </dxf>
    <dxf>
      <alignment vertical="top"/>
    </dxf>
    <dxf>
      <alignment vertical="top"/>
    </dxf>
    <dxf>
      <alignment vertical="center"/>
    </dxf>
    <dxf>
      <alignment horizontal="center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numFmt numFmtId="177" formatCode="_ &quot;₹&quot;* #,##0.00_ ;_ &quot;₹&quot;* \-#,##0.00_ ;_ &quot;₹&quot;* &quot;-&quot;??_ ;_ @_ "/>
    </dxf>
    <dxf>
      <numFmt numFmtId="241" formatCode="_ &quot;₹&quot;* #,##0.0_ ;_ &quot;₹&quot;* \-#,##0.0_ ;_ &quot;₹&quot;* &quot;-&quot;??_ ;_ @_ "/>
    </dxf>
    <dxf>
      <numFmt numFmtId="242" formatCode="_ &quot;₹&quot;* #,##0_ ;_ &quot;₹&quot;* \-#,##0_ ;_ &quot;₹&quot;* &quot;-&quot;??_ ;_ @_ "/>
    </dxf>
    <dxf>
      <numFmt numFmtId="243" formatCode="&quot;₹&quot;#,##0.00_);[Red]\(&quot;₹&quot;#,##0.00\)"/>
    </dxf>
    <dxf>
      <numFmt numFmtId="244" formatCode="&quot;₹&quot;#,##0.0_);[Red]\(&quot;₹&quot;#,##0.0\)"/>
    </dxf>
    <dxf>
      <numFmt numFmtId="180" formatCode="&quot;₹&quot;#,##0_);[Red]\(&quot;₹&quot;#,##0\)"/>
    </dxf>
    <dxf>
      <numFmt numFmtId="245" formatCode="0.000_ "/>
    </dxf>
    <dxf>
      <numFmt numFmtId="246" formatCode="0.00_ "/>
    </dxf>
    <dxf>
      <numFmt numFmtId="181" formatCode="0.0_ "/>
    </dxf>
    <dxf>
      <numFmt numFmtId="247" formatCode="0.000_ "/>
    </dxf>
    <dxf>
      <numFmt numFmtId="248" formatCode="0.00_ "/>
    </dxf>
    <dxf>
      <numFmt numFmtId="181" formatCode="0.0_ "/>
    </dxf>
    <dxf>
      <numFmt numFmtId="249" formatCode="0_ "/>
    </dxf>
    <dxf>
      <numFmt numFmtId="181" formatCode="0.0_ "/>
    </dxf>
    <dxf>
      <alignment vertical="center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alignment horizontal="center"/>
    </dxf>
    <dxf>
      <font>
        <sz val="12"/>
      </font>
    </dxf>
    <dxf>
      <font>
        <b val="1"/>
      </font>
    </dxf>
    <dxf>
      <font>
        <sz val="11"/>
      </font>
    </dxf>
    <dxf>
      <font>
        <sz val="12"/>
      </font>
    </dxf>
    <dxf>
      <font>
        <sz val="12"/>
      </font>
    </dxf>
    <dxf>
      <alignment horizontal="left"/>
    </dxf>
    <dxf>
      <alignment horizontal="left"/>
    </dxf>
    <dxf>
      <alignment vertical="top"/>
    </dxf>
    <dxf>
      <alignment vertical="top"/>
    </dxf>
    <dxf>
      <alignment vertical="center"/>
    </dxf>
    <dxf>
      <alignment horizontal="center"/>
    </dxf>
    <dxf>
      <font>
        <b val="1"/>
        <color theme="1"/>
      </font>
      <border>
        <bottom style="thin">
          <color theme="6"/>
        </bottom>
      </border>
    </dxf>
    <dxf>
      <font>
        <color theme="1"/>
      </font>
      <border>
        <left/>
        <right/>
        <top/>
        <bottom/>
        <vertical/>
        <horizontal/>
      </border>
    </dxf>
    <dxf>
      <font>
        <b val="1"/>
        <color theme="1"/>
      </font>
      <border>
        <bottom style="thin">
          <color theme="6"/>
        </bottom>
      </border>
    </dxf>
    <dxf>
      <font>
        <color theme="1"/>
      </font>
      <border>
        <left/>
        <right/>
        <top/>
        <bottom/>
        <vertical/>
        <horizontal/>
      </border>
    </dxf>
  </dxfs>
  <tableStyles count="2" defaultTableStyle="TableStyleMedium9" defaultPivotStyle="PivotStyleLight16">
    <tableStyle name="SlicerStyleLight3 2" pivot="0" table="0" count="10" xr9:uid="{F8C1F74E-CC78-4C24-B94F-00E8B83D6258}">
      <tableStyleElement type="wholeTable" dxfId="97"/>
      <tableStyleElement type="headerRow" dxfId="96"/>
    </tableStyle>
    <tableStyle name="SlicerStyleLight3 3" pivot="0" table="0" count="10" xr9:uid="{D6CF4504-298A-4CFB-A61B-8AECFC38B211}">
      <tableStyleElement type="wholeTable" dxfId="99"/>
      <tableStyleElement type="headerRow" dxfId="98"/>
    </tableStyle>
  </tableStyle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</border>
        </dxf>
        <dxf>
          <font>
            <color rgb="FF828282"/>
          </font>
          <fill>
            <patternFill patternType="solid">
              <fgColor theme="6" tint="0.799981688894314"/>
              <bgColor theme="6" tint="0.799981688894314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</border>
        </dxf>
        <dxf>
          <font>
            <color rgb="FF000000"/>
          </font>
          <fill>
            <patternFill patternType="solid">
              <fgColor theme="6" tint="0.599993896298105"/>
              <bgColor theme="6" tint="0.59999389629810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</border>
        </dxf>
        <dxf>
          <font>
            <color rgb="FF828282"/>
          </font>
          <fill>
            <patternFill patternType="solid">
              <fgColor theme="6" tint="0.799981688894314"/>
              <bgColor theme="6" tint="0.799981688894314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</border>
        </dxf>
        <dxf>
          <font>
            <color rgb="FF000000"/>
          </font>
          <fill>
            <patternFill patternType="solid">
              <fgColor theme="6" tint="0.599993896298105"/>
              <bgColor theme="6" tint="0.59999389629810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3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  <x14:slicerStyle name="SlicerStyleLight3 3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</x14:slicerStyles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4.xml"/><Relationship Id="rId8" Type="http://schemas.microsoft.com/office/2007/relationships/slicerCache" Target="slicerCaches/slicerCache3.xml"/><Relationship Id="rId7" Type="http://schemas.microsoft.com/office/2007/relationships/slicerCache" Target="slicerCaches/slicerCache2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microsoft.com/office/2007/relationships/slicerCache" Target="slicerCaches/slicerCache5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 Dashboard.xlsx]Sheet2!PivotTable2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sz="1200">
                <a:solidFill>
                  <a:sysClr val="windowText" lastClr="000000"/>
                </a:solidFill>
              </a:rPr>
              <a:t>Employees by Department</a:t>
            </a:r>
            <a:endParaRPr sz="1200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197768435696183"/>
          <c:y val="0.035231943628890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11613151317054"/>
          <c:y val="0.173223722842043"/>
          <c:w val="0.743010959430879"/>
          <c:h val="0.76629477392836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Sheet2!$D$7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Sheet2!$C$8:$C$16</c:f>
              <c:strCache>
                <c:ptCount val="8"/>
                <c:pt idx="0">
                  <c:v>Data Analyst</c:v>
                </c:pt>
                <c:pt idx="1">
                  <c:v>Support</c:v>
                </c:pt>
                <c:pt idx="2">
                  <c:v>HR</c:v>
                </c:pt>
                <c:pt idx="3">
                  <c:v>Finance</c:v>
                </c:pt>
                <c:pt idx="4">
                  <c:v>Marketing</c:v>
                </c:pt>
                <c:pt idx="5">
                  <c:v>Operations</c:v>
                </c:pt>
                <c:pt idx="6">
                  <c:v>Sales</c:v>
                </c:pt>
                <c:pt idx="7">
                  <c:v>IT</c:v>
                </c:pt>
              </c:strCache>
            </c:strRef>
          </c:cat>
          <c:val>
            <c:numRef>
              <c:f>Sheet2!$D$8:$D$16</c:f>
              <c:numCache>
                <c:formatCode>General</c:formatCode>
                <c:ptCount val="8"/>
                <c:pt idx="0">
                  <c:v>1</c:v>
                </c:pt>
                <c:pt idx="1">
                  <c:v>49</c:v>
                </c:pt>
                <c:pt idx="2">
                  <c:v>61</c:v>
                </c:pt>
                <c:pt idx="3">
                  <c:v>64</c:v>
                </c:pt>
                <c:pt idx="4">
                  <c:v>67</c:v>
                </c:pt>
                <c:pt idx="5">
                  <c:v>75</c:v>
                </c:pt>
                <c:pt idx="6">
                  <c:v>77</c:v>
                </c:pt>
                <c:pt idx="7">
                  <c:v>106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532943839"/>
        <c:axId val="600426738"/>
      </c:barChart>
      <c:catAx>
        <c:axId val="532943839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0426738"/>
        <c:crosses val="autoZero"/>
        <c:auto val="1"/>
        <c:lblAlgn val="ctr"/>
        <c:lblOffset val="100"/>
        <c:noMultiLvlLbl val="0"/>
      </c:catAx>
      <c:valAx>
        <c:axId val="60042673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2943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f66668e-e9e9-4e14-8a38-494682ffb179}"/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 Dashboard.xlsx]Sheet2!PivotTable7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sz="1200">
                <a:solidFill>
                  <a:sysClr val="windowText" lastClr="000000"/>
                </a:solidFill>
              </a:rPr>
              <a:t>Employees by location</a:t>
            </a:r>
            <a:endParaRPr sz="1200"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06366066013044"/>
          <c:y val="0.212597807343532"/>
          <c:w val="0.446527012127894"/>
          <c:h val="0.716602772043645"/>
        </c:manualLayout>
      </c:layout>
      <c:doughnutChart>
        <c:varyColors val="1"/>
        <c:ser>
          <c:idx val="0"/>
          <c:order val="0"/>
          <c:tx>
            <c:strRef>
              <c:f>Sheet2!$D$18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explosion val="0"/>
          <c:dPt>
            <c:idx val="0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92D050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>
                  <a:lumMod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2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12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sz="1200" b="1">
                        <a:solidFill>
                          <a:sysClr val="windowText" lastClr="000000"/>
                        </a:solidFill>
                      </a:rPr>
                      <a:t>27%</a:t>
                    </a:r>
                    <a:endParaRPr sz="1200" b="1">
                      <a:solidFill>
                        <a:sysClr val="windowText" lastClr="000000"/>
                      </a:solidFill>
                    </a:endParaRPr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Sheet2!$C$19:$C$24</c:f>
              <c:strCache>
                <c:ptCount val="5"/>
                <c:pt idx="0">
                  <c:v>Mumbai</c:v>
                </c:pt>
                <c:pt idx="1">
                  <c:v>Hyderabad</c:v>
                </c:pt>
                <c:pt idx="2">
                  <c:v>Delhi</c:v>
                </c:pt>
                <c:pt idx="3">
                  <c:v>Pune</c:v>
                </c:pt>
                <c:pt idx="4">
                  <c:v>Bangalore</c:v>
                </c:pt>
              </c:strCache>
            </c:strRef>
          </c:cat>
          <c:val>
            <c:numRef>
              <c:f>Sheet2!$D$19:$D$24</c:f>
              <c:numCache>
                <c:formatCode>General</c:formatCode>
                <c:ptCount val="5"/>
                <c:pt idx="0">
                  <c:v>110</c:v>
                </c:pt>
                <c:pt idx="1">
                  <c:v>82</c:v>
                </c:pt>
                <c:pt idx="2">
                  <c:v>103</c:v>
                </c:pt>
                <c:pt idx="3">
                  <c:v>70</c:v>
                </c:pt>
                <c:pt idx="4">
                  <c:v>135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910d879-ab61-4a8e-b44a-11a15b5ad01b}"/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 Dashboard.xlsx]Sheet2!PivotTable3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sz="1200" b="1">
                <a:solidFill>
                  <a:sysClr val="windowText" lastClr="000000"/>
                </a:solidFill>
              </a:rPr>
              <a:t>Employment Status</a:t>
            </a:r>
            <a:endParaRPr sz="1200" b="1"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70020120724346"/>
          <c:y val="0.228028503562945"/>
          <c:w val="0.404426559356137"/>
          <c:h val="0.682049541907024"/>
        </c:manualLayout>
      </c:layout>
      <c:doughnutChart>
        <c:varyColors val="1"/>
        <c:ser>
          <c:idx val="0"/>
          <c:order val="0"/>
          <c:tx>
            <c:strRef>
              <c:f>Sheet2!$G$7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</c:spPr>
          <c:explosion val="0"/>
          <c:dPt>
            <c:idx val="0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2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Sheet2!$F$8:$F$10</c:f>
              <c:strCache>
                <c:ptCount val="2"/>
                <c:pt idx="0">
                  <c:v>Active</c:v>
                </c:pt>
                <c:pt idx="1">
                  <c:v>Inactive</c:v>
                </c:pt>
              </c:strCache>
            </c:strRef>
          </c:cat>
          <c:val>
            <c:numRef>
              <c:f>Sheet2!$G$8:$G$10</c:f>
              <c:numCache>
                <c:formatCode>General</c:formatCode>
                <c:ptCount val="2"/>
                <c:pt idx="0">
                  <c:v>448</c:v>
                </c:pt>
                <c:pt idx="1">
                  <c:v>52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8acd940-ced9-4946-a1d2-a625f0131b8a}"/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 lang="en-US" sz="900" b="1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 Dashboard.xlsx]Sheet2!PivotTable8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sz="1200" b="1">
                <a:solidFill>
                  <a:sysClr val="windowText" lastClr="000000"/>
                </a:solidFill>
              </a:rPr>
              <a:t>Average Salary by Department</a:t>
            </a:r>
            <a:endParaRPr sz="12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237895353377587"/>
          <c:y val="0.027224435590969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121742512641"/>
          <c:y val="0.207215007215007"/>
          <c:w val="0.769933877868534"/>
          <c:h val="0.55301587301587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Sheet2!$G$13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Sheet2!$F$14:$F$22</c:f>
              <c:strCache>
                <c:ptCount val="8"/>
                <c:pt idx="0">
                  <c:v>Data Analyst</c:v>
                </c:pt>
                <c:pt idx="1">
                  <c:v>IT</c:v>
                </c:pt>
                <c:pt idx="2">
                  <c:v>Marketing</c:v>
                </c:pt>
                <c:pt idx="3">
                  <c:v>Finance</c:v>
                </c:pt>
                <c:pt idx="4">
                  <c:v>Sales</c:v>
                </c:pt>
                <c:pt idx="5">
                  <c:v>HR</c:v>
                </c:pt>
                <c:pt idx="6">
                  <c:v>Operations</c:v>
                </c:pt>
                <c:pt idx="7">
                  <c:v>Support</c:v>
                </c:pt>
              </c:strCache>
            </c:strRef>
          </c:cat>
          <c:val>
            <c:numRef>
              <c:f>Sheet2!$G$14:$G$22</c:f>
              <c:numCache>
                <c:formatCode>"₹"#,##0_);[Red]\("₹"#,##0\)</c:formatCode>
                <c:ptCount val="8"/>
                <c:pt idx="0">
                  <c:v>150000</c:v>
                </c:pt>
                <c:pt idx="1">
                  <c:v>94660.3773584906</c:v>
                </c:pt>
                <c:pt idx="2">
                  <c:v>78970.1492537314</c:v>
                </c:pt>
                <c:pt idx="3">
                  <c:v>78953.125</c:v>
                </c:pt>
                <c:pt idx="4">
                  <c:v>73701.2987012987</c:v>
                </c:pt>
                <c:pt idx="5">
                  <c:v>71327.868852459</c:v>
                </c:pt>
                <c:pt idx="6">
                  <c:v>68386.6666666667</c:v>
                </c:pt>
                <c:pt idx="7">
                  <c:v>58775.5102040816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347772948"/>
        <c:axId val="864031141"/>
      </c:barChart>
      <c:catAx>
        <c:axId val="3477729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4031141"/>
        <c:crosses val="autoZero"/>
        <c:auto val="1"/>
        <c:lblAlgn val="l"/>
        <c:lblOffset val="100"/>
        <c:noMultiLvlLbl val="0"/>
      </c:catAx>
      <c:valAx>
        <c:axId val="864031141"/>
        <c:scaling>
          <c:orientation val="minMax"/>
        </c:scaling>
        <c:delete val="0"/>
        <c:axPos val="l"/>
        <c:numFmt formatCode="&quot;₹&quot;#,##0_);[Red]\(&quot;₹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77729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7ccbe5a-fca6-431f-b539-db120a0f6f3c}"/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 lang="en-US" sz="900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 Dashboard.xlsx]Sheet2!PivotTable9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sz="1200" b="1">
                <a:solidFill>
                  <a:sysClr val="windowText" lastClr="000000"/>
                </a:solidFill>
              </a:rPr>
              <a:t>Employees by Experience (year)</a:t>
            </a:r>
            <a:endParaRPr sz="12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207062043888488"/>
          <c:y val="0.066678588459704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Sheet2!$J$7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3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Sheet2!$I$8:$I$118</c:f>
              <c:strCache>
                <c:ptCount val="110"/>
                <c:pt idx="0">
                  <c:v>3.4</c:v>
                </c:pt>
                <c:pt idx="1">
                  <c:v>4.9</c:v>
                </c:pt>
                <c:pt idx="2">
                  <c:v>11.6</c:v>
                </c:pt>
                <c:pt idx="3">
                  <c:v>7.8</c:v>
                </c:pt>
                <c:pt idx="4">
                  <c:v>5.5</c:v>
                </c:pt>
                <c:pt idx="5">
                  <c:v>8.4</c:v>
                </c:pt>
                <c:pt idx="6">
                  <c:v>9.8</c:v>
                </c:pt>
                <c:pt idx="7">
                  <c:v>9.1</c:v>
                </c:pt>
                <c:pt idx="8">
                  <c:v>4.3</c:v>
                </c:pt>
                <c:pt idx="9">
                  <c:v>5.6</c:v>
                </c:pt>
                <c:pt idx="10">
                  <c:v>11.1</c:v>
                </c:pt>
                <c:pt idx="11">
                  <c:v>7.4</c:v>
                </c:pt>
                <c:pt idx="12">
                  <c:v>3.2</c:v>
                </c:pt>
                <c:pt idx="13">
                  <c:v>1</c:v>
                </c:pt>
                <c:pt idx="14">
                  <c:v>4.8</c:v>
                </c:pt>
                <c:pt idx="15">
                  <c:v>10.8</c:v>
                </c:pt>
                <c:pt idx="16">
                  <c:v>6.3</c:v>
                </c:pt>
                <c:pt idx="17">
                  <c:v>3.7</c:v>
                </c:pt>
                <c:pt idx="18">
                  <c:v>10.9</c:v>
                </c:pt>
                <c:pt idx="19">
                  <c:v>1.5</c:v>
                </c:pt>
                <c:pt idx="20">
                  <c:v>10.6</c:v>
                </c:pt>
                <c:pt idx="21">
                  <c:v>6.9</c:v>
                </c:pt>
                <c:pt idx="22">
                  <c:v>6.2</c:v>
                </c:pt>
                <c:pt idx="23">
                  <c:v>7.3</c:v>
                </c:pt>
                <c:pt idx="24">
                  <c:v>5.2</c:v>
                </c:pt>
                <c:pt idx="25">
                  <c:v>2.1</c:v>
                </c:pt>
                <c:pt idx="26">
                  <c:v>7.1</c:v>
                </c:pt>
                <c:pt idx="27">
                  <c:v>8.3</c:v>
                </c:pt>
                <c:pt idx="28">
                  <c:v>10.5</c:v>
                </c:pt>
                <c:pt idx="29">
                  <c:v>9.9</c:v>
                </c:pt>
                <c:pt idx="30">
                  <c:v>2.5</c:v>
                </c:pt>
                <c:pt idx="31">
                  <c:v>8.7</c:v>
                </c:pt>
                <c:pt idx="32">
                  <c:v>7.9</c:v>
                </c:pt>
                <c:pt idx="33">
                  <c:v>5.4</c:v>
                </c:pt>
                <c:pt idx="34">
                  <c:v>10</c:v>
                </c:pt>
                <c:pt idx="35">
                  <c:v>7.6</c:v>
                </c:pt>
                <c:pt idx="36">
                  <c:v>2</c:v>
                </c:pt>
                <c:pt idx="37">
                  <c:v>11.2</c:v>
                </c:pt>
                <c:pt idx="38">
                  <c:v>4</c:v>
                </c:pt>
                <c:pt idx="39">
                  <c:v>1.6</c:v>
                </c:pt>
                <c:pt idx="40">
                  <c:v>4.7</c:v>
                </c:pt>
                <c:pt idx="41">
                  <c:v>8</c:v>
                </c:pt>
                <c:pt idx="42">
                  <c:v>8.5</c:v>
                </c:pt>
                <c:pt idx="43">
                  <c:v>8.2</c:v>
                </c:pt>
                <c:pt idx="44">
                  <c:v>1.7</c:v>
                </c:pt>
                <c:pt idx="45">
                  <c:v>6.4</c:v>
                </c:pt>
                <c:pt idx="46">
                  <c:v>10.1</c:v>
                </c:pt>
                <c:pt idx="47">
                  <c:v>1.1</c:v>
                </c:pt>
                <c:pt idx="48">
                  <c:v>10.7</c:v>
                </c:pt>
                <c:pt idx="49">
                  <c:v>1.8</c:v>
                </c:pt>
                <c:pt idx="50">
                  <c:v>11.4</c:v>
                </c:pt>
                <c:pt idx="51">
                  <c:v>2.3</c:v>
                </c:pt>
                <c:pt idx="52">
                  <c:v>6.8</c:v>
                </c:pt>
                <c:pt idx="53">
                  <c:v>3.3</c:v>
                </c:pt>
                <c:pt idx="54">
                  <c:v>9.5</c:v>
                </c:pt>
                <c:pt idx="55">
                  <c:v>5</c:v>
                </c:pt>
                <c:pt idx="56">
                  <c:v>1.9</c:v>
                </c:pt>
                <c:pt idx="57">
                  <c:v>9.6</c:v>
                </c:pt>
                <c:pt idx="58">
                  <c:v>11</c:v>
                </c:pt>
                <c:pt idx="59">
                  <c:v>4.6</c:v>
                </c:pt>
                <c:pt idx="60">
                  <c:v>3.9</c:v>
                </c:pt>
                <c:pt idx="61">
                  <c:v>2.4</c:v>
                </c:pt>
                <c:pt idx="62">
                  <c:v>6.1</c:v>
                </c:pt>
                <c:pt idx="63">
                  <c:v>3.1</c:v>
                </c:pt>
                <c:pt idx="64">
                  <c:v>4.5</c:v>
                </c:pt>
                <c:pt idx="65">
                  <c:v>8.1</c:v>
                </c:pt>
                <c:pt idx="66">
                  <c:v>6.5</c:v>
                </c:pt>
                <c:pt idx="67">
                  <c:v>0.7</c:v>
                </c:pt>
                <c:pt idx="68">
                  <c:v>3</c:v>
                </c:pt>
                <c:pt idx="69">
                  <c:v>2.8</c:v>
                </c:pt>
                <c:pt idx="70">
                  <c:v>5.7</c:v>
                </c:pt>
                <c:pt idx="71">
                  <c:v>6.7</c:v>
                </c:pt>
                <c:pt idx="72">
                  <c:v>4.2</c:v>
                </c:pt>
                <c:pt idx="73">
                  <c:v>7.2</c:v>
                </c:pt>
                <c:pt idx="74">
                  <c:v>3.6</c:v>
                </c:pt>
                <c:pt idx="75">
                  <c:v>7.5</c:v>
                </c:pt>
                <c:pt idx="76">
                  <c:v>4.1</c:v>
                </c:pt>
                <c:pt idx="77">
                  <c:v>10.3</c:v>
                </c:pt>
                <c:pt idx="78">
                  <c:v>9</c:v>
                </c:pt>
                <c:pt idx="79">
                  <c:v>3.8</c:v>
                </c:pt>
                <c:pt idx="80">
                  <c:v>9.2</c:v>
                </c:pt>
                <c:pt idx="81">
                  <c:v>10.2</c:v>
                </c:pt>
                <c:pt idx="82">
                  <c:v>6.6</c:v>
                </c:pt>
                <c:pt idx="83">
                  <c:v>7</c:v>
                </c:pt>
                <c:pt idx="84">
                  <c:v>2.2</c:v>
                </c:pt>
                <c:pt idx="85">
                  <c:v>7.7</c:v>
                </c:pt>
                <c:pt idx="86">
                  <c:v>8.9</c:v>
                </c:pt>
                <c:pt idx="87">
                  <c:v>9.4</c:v>
                </c:pt>
                <c:pt idx="88">
                  <c:v>5.9</c:v>
                </c:pt>
                <c:pt idx="89">
                  <c:v>8.8</c:v>
                </c:pt>
                <c:pt idx="90">
                  <c:v>2.7</c:v>
                </c:pt>
                <c:pt idx="91">
                  <c:v>9.7</c:v>
                </c:pt>
                <c:pt idx="92">
                  <c:v>2.6</c:v>
                </c:pt>
                <c:pt idx="93">
                  <c:v>5.1</c:v>
                </c:pt>
                <c:pt idx="94">
                  <c:v>10.4</c:v>
                </c:pt>
                <c:pt idx="95">
                  <c:v>1.2</c:v>
                </c:pt>
                <c:pt idx="96">
                  <c:v>1.4</c:v>
                </c:pt>
                <c:pt idx="97">
                  <c:v>4.4</c:v>
                </c:pt>
                <c:pt idx="98">
                  <c:v>3.5</c:v>
                </c:pt>
                <c:pt idx="99">
                  <c:v>5.8</c:v>
                </c:pt>
                <c:pt idx="100">
                  <c:v>0.9</c:v>
                </c:pt>
                <c:pt idx="101">
                  <c:v>5.3</c:v>
                </c:pt>
                <c:pt idx="102">
                  <c:v>8.6</c:v>
                </c:pt>
                <c:pt idx="103">
                  <c:v>0.8</c:v>
                </c:pt>
                <c:pt idx="104">
                  <c:v>1.3</c:v>
                </c:pt>
                <c:pt idx="105">
                  <c:v>6</c:v>
                </c:pt>
                <c:pt idx="106">
                  <c:v>9.3</c:v>
                </c:pt>
                <c:pt idx="107">
                  <c:v>11.5</c:v>
                </c:pt>
                <c:pt idx="108">
                  <c:v>2.9</c:v>
                </c:pt>
                <c:pt idx="109">
                  <c:v>11.3</c:v>
                </c:pt>
              </c:strCache>
            </c:strRef>
          </c:cat>
          <c:val>
            <c:numRef>
              <c:f>Sheet2!$J$8:$J$118</c:f>
              <c:numCache>
                <c:formatCode>General</c:formatCode>
                <c:ptCount val="110"/>
                <c:pt idx="0">
                  <c:v>4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2</c:v>
                </c:pt>
                <c:pt idx="6">
                  <c:v>7</c:v>
                </c:pt>
                <c:pt idx="7">
                  <c:v>5</c:v>
                </c:pt>
                <c:pt idx="8">
                  <c:v>8</c:v>
                </c:pt>
                <c:pt idx="9">
                  <c:v>8</c:v>
                </c:pt>
                <c:pt idx="10">
                  <c:v>4</c:v>
                </c:pt>
                <c:pt idx="11">
                  <c:v>5</c:v>
                </c:pt>
                <c:pt idx="12">
                  <c:v>2</c:v>
                </c:pt>
                <c:pt idx="13">
                  <c:v>7</c:v>
                </c:pt>
                <c:pt idx="14">
                  <c:v>5</c:v>
                </c:pt>
                <c:pt idx="15">
                  <c:v>2</c:v>
                </c:pt>
                <c:pt idx="16">
                  <c:v>7</c:v>
                </c:pt>
                <c:pt idx="17">
                  <c:v>4</c:v>
                </c:pt>
                <c:pt idx="18">
                  <c:v>1</c:v>
                </c:pt>
                <c:pt idx="19">
                  <c:v>6</c:v>
                </c:pt>
                <c:pt idx="20">
                  <c:v>4</c:v>
                </c:pt>
                <c:pt idx="21">
                  <c:v>3</c:v>
                </c:pt>
                <c:pt idx="22">
                  <c:v>6</c:v>
                </c:pt>
                <c:pt idx="23">
                  <c:v>4</c:v>
                </c:pt>
                <c:pt idx="24">
                  <c:v>2</c:v>
                </c:pt>
                <c:pt idx="25">
                  <c:v>7</c:v>
                </c:pt>
                <c:pt idx="26">
                  <c:v>2</c:v>
                </c:pt>
                <c:pt idx="27">
                  <c:v>8</c:v>
                </c:pt>
                <c:pt idx="28">
                  <c:v>5</c:v>
                </c:pt>
                <c:pt idx="29">
                  <c:v>6</c:v>
                </c:pt>
                <c:pt idx="30">
                  <c:v>5</c:v>
                </c:pt>
                <c:pt idx="31">
                  <c:v>6</c:v>
                </c:pt>
                <c:pt idx="32">
                  <c:v>6</c:v>
                </c:pt>
                <c:pt idx="33">
                  <c:v>5</c:v>
                </c:pt>
                <c:pt idx="34">
                  <c:v>7</c:v>
                </c:pt>
                <c:pt idx="35">
                  <c:v>4</c:v>
                </c:pt>
                <c:pt idx="36">
                  <c:v>6</c:v>
                </c:pt>
                <c:pt idx="37">
                  <c:v>4</c:v>
                </c:pt>
                <c:pt idx="38">
                  <c:v>7</c:v>
                </c:pt>
                <c:pt idx="39">
                  <c:v>5</c:v>
                </c:pt>
                <c:pt idx="40">
                  <c:v>4</c:v>
                </c:pt>
                <c:pt idx="41">
                  <c:v>3</c:v>
                </c:pt>
                <c:pt idx="42">
                  <c:v>8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7</c:v>
                </c:pt>
                <c:pt idx="47">
                  <c:v>6</c:v>
                </c:pt>
                <c:pt idx="48">
                  <c:v>6</c:v>
                </c:pt>
                <c:pt idx="49">
                  <c:v>4</c:v>
                </c:pt>
                <c:pt idx="50">
                  <c:v>7</c:v>
                </c:pt>
                <c:pt idx="51">
                  <c:v>4</c:v>
                </c:pt>
                <c:pt idx="52">
                  <c:v>5</c:v>
                </c:pt>
                <c:pt idx="53">
                  <c:v>4</c:v>
                </c:pt>
                <c:pt idx="54">
                  <c:v>7</c:v>
                </c:pt>
                <c:pt idx="55">
                  <c:v>6</c:v>
                </c:pt>
                <c:pt idx="56">
                  <c:v>2</c:v>
                </c:pt>
                <c:pt idx="57">
                  <c:v>4</c:v>
                </c:pt>
                <c:pt idx="58">
                  <c:v>8</c:v>
                </c:pt>
                <c:pt idx="59">
                  <c:v>5</c:v>
                </c:pt>
                <c:pt idx="60">
                  <c:v>5</c:v>
                </c:pt>
                <c:pt idx="61">
                  <c:v>9</c:v>
                </c:pt>
                <c:pt idx="62">
                  <c:v>5</c:v>
                </c:pt>
                <c:pt idx="63">
                  <c:v>2</c:v>
                </c:pt>
                <c:pt idx="64">
                  <c:v>4</c:v>
                </c:pt>
                <c:pt idx="65">
                  <c:v>4</c:v>
                </c:pt>
                <c:pt idx="66">
                  <c:v>2</c:v>
                </c:pt>
                <c:pt idx="67">
                  <c:v>5</c:v>
                </c:pt>
                <c:pt idx="68">
                  <c:v>4</c:v>
                </c:pt>
                <c:pt idx="69">
                  <c:v>2</c:v>
                </c:pt>
                <c:pt idx="70">
                  <c:v>1</c:v>
                </c:pt>
                <c:pt idx="71">
                  <c:v>5</c:v>
                </c:pt>
                <c:pt idx="72">
                  <c:v>1</c:v>
                </c:pt>
                <c:pt idx="73">
                  <c:v>5</c:v>
                </c:pt>
                <c:pt idx="74">
                  <c:v>4</c:v>
                </c:pt>
                <c:pt idx="75">
                  <c:v>8</c:v>
                </c:pt>
                <c:pt idx="76">
                  <c:v>2</c:v>
                </c:pt>
                <c:pt idx="77">
                  <c:v>1</c:v>
                </c:pt>
                <c:pt idx="78">
                  <c:v>3</c:v>
                </c:pt>
                <c:pt idx="79">
                  <c:v>6</c:v>
                </c:pt>
                <c:pt idx="80">
                  <c:v>5</c:v>
                </c:pt>
                <c:pt idx="81">
                  <c:v>6</c:v>
                </c:pt>
                <c:pt idx="82">
                  <c:v>7</c:v>
                </c:pt>
                <c:pt idx="83">
                  <c:v>5</c:v>
                </c:pt>
                <c:pt idx="84">
                  <c:v>5</c:v>
                </c:pt>
                <c:pt idx="85">
                  <c:v>3</c:v>
                </c:pt>
                <c:pt idx="86">
                  <c:v>4</c:v>
                </c:pt>
                <c:pt idx="87">
                  <c:v>7</c:v>
                </c:pt>
                <c:pt idx="88">
                  <c:v>3</c:v>
                </c:pt>
                <c:pt idx="89">
                  <c:v>5</c:v>
                </c:pt>
                <c:pt idx="90">
                  <c:v>3</c:v>
                </c:pt>
                <c:pt idx="91">
                  <c:v>5</c:v>
                </c:pt>
                <c:pt idx="92">
                  <c:v>3</c:v>
                </c:pt>
                <c:pt idx="93">
                  <c:v>8</c:v>
                </c:pt>
                <c:pt idx="94">
                  <c:v>4</c:v>
                </c:pt>
                <c:pt idx="95">
                  <c:v>2</c:v>
                </c:pt>
                <c:pt idx="96">
                  <c:v>3</c:v>
                </c:pt>
                <c:pt idx="97">
                  <c:v>3</c:v>
                </c:pt>
                <c:pt idx="98">
                  <c:v>4</c:v>
                </c:pt>
                <c:pt idx="99">
                  <c:v>1</c:v>
                </c:pt>
                <c:pt idx="100">
                  <c:v>3</c:v>
                </c:pt>
                <c:pt idx="101">
                  <c:v>3</c:v>
                </c:pt>
                <c:pt idx="102">
                  <c:v>5</c:v>
                </c:pt>
                <c:pt idx="103">
                  <c:v>9</c:v>
                </c:pt>
                <c:pt idx="104">
                  <c:v>3</c:v>
                </c:pt>
                <c:pt idx="105">
                  <c:v>1</c:v>
                </c:pt>
                <c:pt idx="106">
                  <c:v>1</c:v>
                </c:pt>
                <c:pt idx="107">
                  <c:v>2</c:v>
                </c:pt>
                <c:pt idx="108">
                  <c:v>3</c:v>
                </c:pt>
                <c:pt idx="109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2218124"/>
        <c:axId val="105029137"/>
      </c:lineChart>
      <c:catAx>
        <c:axId val="322181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5029137"/>
        <c:crosses val="autoZero"/>
        <c:auto val="1"/>
        <c:lblAlgn val="ctr"/>
        <c:lblOffset val="100"/>
        <c:noMultiLvlLbl val="0"/>
      </c:catAx>
      <c:valAx>
        <c:axId val="10502913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2181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9a819c2-bae3-41d6-8457-65d048ae53ae}"/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 lang="en-US" sz="900" b="1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 Dashboard.xlsx]Sheet2!PivotTable10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sz="1200" b="1">
                <a:solidFill>
                  <a:sysClr val="windowText" lastClr="000000"/>
                </a:solidFill>
              </a:rPr>
              <a:t>Average Performance Score by Department</a:t>
            </a:r>
            <a:endParaRPr sz="1200" b="1"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Sheet2!$D$27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Sheet2!$C$28:$C$36</c:f>
              <c:strCache>
                <c:ptCount val="8"/>
                <c:pt idx="0">
                  <c:v>Data Analyst</c:v>
                </c:pt>
                <c:pt idx="1">
                  <c:v>Operations</c:v>
                </c:pt>
                <c:pt idx="2">
                  <c:v>Sales</c:v>
                </c:pt>
                <c:pt idx="3">
                  <c:v>IT</c:v>
                </c:pt>
                <c:pt idx="4">
                  <c:v>Finance</c:v>
                </c:pt>
                <c:pt idx="5">
                  <c:v>Support</c:v>
                </c:pt>
                <c:pt idx="6">
                  <c:v>HR</c:v>
                </c:pt>
                <c:pt idx="7">
                  <c:v>Marketing</c:v>
                </c:pt>
              </c:strCache>
            </c:strRef>
          </c:cat>
          <c:val>
            <c:numRef>
              <c:f>Sheet2!$D$28:$D$36</c:f>
              <c:numCache>
                <c:formatCode>0.0_ </c:formatCode>
                <c:ptCount val="8"/>
                <c:pt idx="0">
                  <c:v>12</c:v>
                </c:pt>
                <c:pt idx="1">
                  <c:v>7.688</c:v>
                </c:pt>
                <c:pt idx="2">
                  <c:v>7.58051948051948</c:v>
                </c:pt>
                <c:pt idx="3">
                  <c:v>7.53773584905661</c:v>
                </c:pt>
                <c:pt idx="4">
                  <c:v>7.521875</c:v>
                </c:pt>
                <c:pt idx="5">
                  <c:v>7.36938775510204</c:v>
                </c:pt>
                <c:pt idx="6">
                  <c:v>7.34262295081967</c:v>
                </c:pt>
                <c:pt idx="7">
                  <c:v>7.29402985074627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219"/>
        <c:overlap val="-27"/>
        <c:axId val="140879804"/>
        <c:axId val="816735320"/>
      </c:barChart>
      <c:catAx>
        <c:axId val="1408798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6735320"/>
        <c:crosses val="autoZero"/>
        <c:auto val="1"/>
        <c:lblAlgn val="ctr"/>
        <c:lblOffset val="100"/>
        <c:noMultiLvlLbl val="0"/>
      </c:catAx>
      <c:valAx>
        <c:axId val="816735320"/>
        <c:scaling>
          <c:orientation val="minMax"/>
        </c:scaling>
        <c:delete val="0"/>
        <c:axPos val="l"/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08798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83ce7be-23fb-44d5-9652-720adffcb1b4}"/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 lang="en-US" sz="1200" b="1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 Dashboard.xlsx]Sheet2!PivotTable11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sz="1200">
                <a:solidFill>
                  <a:sysClr val="windowText" lastClr="000000"/>
                </a:solidFill>
              </a:rPr>
              <a:t>New Hiers Trend by Year</a:t>
            </a:r>
            <a:endParaRPr sz="1200"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Sheet2!$G$24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3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5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3">
                    <a:lumMod val="50000"/>
                  </a:schemeClr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4"/>
            <c:marker>
              <c:symbol val="circle"/>
              <c:size val="5"/>
              <c:spPr>
                <a:solidFill>
                  <a:schemeClr val="accent3">
                    <a:lumMod val="50000"/>
                  </a:schemeClr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Lbls>
            <c:delete val="1"/>
          </c:dLbls>
          <c:cat>
            <c:strRef>
              <c:f>Sheet2!$F$25:$F$36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Sheet2!$G$25:$G$36</c:f>
              <c:numCache>
                <c:formatCode>General</c:formatCode>
                <c:ptCount val="11"/>
                <c:pt idx="0">
                  <c:v>41</c:v>
                </c:pt>
                <c:pt idx="1">
                  <c:v>52</c:v>
                </c:pt>
                <c:pt idx="2">
                  <c:v>47</c:v>
                </c:pt>
                <c:pt idx="3">
                  <c:v>49</c:v>
                </c:pt>
                <c:pt idx="4">
                  <c:v>45</c:v>
                </c:pt>
                <c:pt idx="5">
                  <c:v>37</c:v>
                </c:pt>
                <c:pt idx="6">
                  <c:v>53</c:v>
                </c:pt>
                <c:pt idx="7">
                  <c:v>45</c:v>
                </c:pt>
                <c:pt idx="8">
                  <c:v>33</c:v>
                </c:pt>
                <c:pt idx="9">
                  <c:v>49</c:v>
                </c:pt>
                <c:pt idx="10">
                  <c:v>49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360856"/>
        <c:axId val="557860084"/>
      </c:lineChart>
      <c:catAx>
        <c:axId val="3153608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7860084"/>
        <c:crosses val="autoZero"/>
        <c:auto val="1"/>
        <c:lblAlgn val="ctr"/>
        <c:lblOffset val="100"/>
        <c:noMultiLvlLbl val="0"/>
      </c:catAx>
      <c:valAx>
        <c:axId val="5578600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15360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5d03ba9-a19f-464a-b1e1-483ae28c9a65}"/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 Dashboard.xlsx]Sheet2!PivotTable12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sz="1200">
                <a:solidFill>
                  <a:sysClr val="windowText" lastClr="000000"/>
                </a:solidFill>
              </a:rPr>
              <a:t>Gender Distribution</a:t>
            </a:r>
            <a:endParaRPr sz="1200"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25900116144019"/>
          <c:y val="0.196408209806157"/>
          <c:w val="0.483546264034069"/>
          <c:h val="0.712086659064994"/>
        </c:manualLayout>
      </c:layout>
      <c:doughnutChart>
        <c:varyColors val="1"/>
        <c:ser>
          <c:idx val="0"/>
          <c:order val="0"/>
          <c:tx>
            <c:strRef>
              <c:f>Sheet2!$D$38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</c:spPr>
          <c:explosion val="0"/>
          <c:dPt>
            <c:idx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2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Sheet2!$C$39:$C$41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Sheet2!$D$39:$D$41</c:f>
              <c:numCache>
                <c:formatCode>General</c:formatCode>
                <c:ptCount val="2"/>
                <c:pt idx="0">
                  <c:v>235</c:v>
                </c:pt>
                <c:pt idx="1">
                  <c:v>265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027eb97-2d56-4b61-8f14-90e9c09c37d4}"/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1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9" Type="http://schemas.openxmlformats.org/officeDocument/2006/relationships/image" Target="../media/image1.png"/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5" Type="http://schemas.openxmlformats.org/officeDocument/2006/relationships/hyperlink" Target="HR_Analytics_Dataset_500_.xlsx" TargetMode="External"/><Relationship Id="rId14" Type="http://schemas.openxmlformats.org/officeDocument/2006/relationships/image" Target="../media/image6.jpeg"/><Relationship Id="rId13" Type="http://schemas.openxmlformats.org/officeDocument/2006/relationships/image" Target="../media/image5.jpeg"/><Relationship Id="rId12" Type="http://schemas.openxmlformats.org/officeDocument/2006/relationships/image" Target="../media/image4.jpeg"/><Relationship Id="rId11" Type="http://schemas.openxmlformats.org/officeDocument/2006/relationships/image" Target="../media/image3.jpeg"/><Relationship Id="rId10" Type="http://schemas.openxmlformats.org/officeDocument/2006/relationships/image" Target="../media/image2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2</xdr:row>
      <xdr:rowOff>104775</xdr:rowOff>
    </xdr:from>
    <xdr:to>
      <xdr:col>1</xdr:col>
      <xdr:colOff>541655</xdr:colOff>
      <xdr:row>4</xdr:row>
      <xdr:rowOff>142875</xdr:rowOff>
    </xdr:to>
    <xdr:sp>
      <xdr:nvSpPr>
        <xdr:cNvPr id="2" name="Chevron 1"/>
        <xdr:cNvSpPr/>
      </xdr:nvSpPr>
      <xdr:spPr>
        <a:xfrm>
          <a:off x="9525" y="485775"/>
          <a:ext cx="1141730" cy="419100"/>
        </a:xfrm>
        <a:prstGeom prst="chevron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p>
          <a:pPr algn="l"/>
          <a:r>
            <a:rPr lang="en-US" sz="1200" b="1">
              <a:solidFill>
                <a:schemeClr val="bg1"/>
              </a:solidFill>
            </a:rPr>
            <a:t>KPI Card</a:t>
          </a:r>
          <a:endParaRPr lang="en-US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9525</xdr:colOff>
      <xdr:row>5</xdr:row>
      <xdr:rowOff>174625</xdr:rowOff>
    </xdr:from>
    <xdr:to>
      <xdr:col>1</xdr:col>
      <xdr:colOff>475615</xdr:colOff>
      <xdr:row>8</xdr:row>
      <xdr:rowOff>22225</xdr:rowOff>
    </xdr:to>
    <xdr:sp>
      <xdr:nvSpPr>
        <xdr:cNvPr id="3" name="Chevron 2"/>
        <xdr:cNvSpPr/>
      </xdr:nvSpPr>
      <xdr:spPr>
        <a:xfrm>
          <a:off x="9525" y="1127125"/>
          <a:ext cx="1075690" cy="419100"/>
        </a:xfrm>
        <a:prstGeom prst="chevron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200" b="1">
              <a:solidFill>
                <a:schemeClr val="bg1"/>
              </a:solidFill>
            </a:rPr>
            <a:t>charts</a:t>
          </a:r>
          <a:endParaRPr lang="en-US" sz="1200" b="1">
            <a:solidFill>
              <a:schemeClr val="bg1"/>
            </a:solidFill>
          </a:endParaRPr>
        </a:p>
        <a:p>
          <a:pPr algn="l"/>
          <a:endParaRPr lang="en-US" sz="1200" b="1">
            <a:solidFill>
              <a:schemeClr val="bg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2</xdr:row>
      <xdr:rowOff>0</xdr:rowOff>
    </xdr:from>
    <xdr:to>
      <xdr:col>1</xdr:col>
      <xdr:colOff>532130</xdr:colOff>
      <xdr:row>4</xdr:row>
      <xdr:rowOff>38100</xdr:rowOff>
    </xdr:to>
    <xdr:sp>
      <xdr:nvSpPr>
        <xdr:cNvPr id="2" name="Chevron 1"/>
        <xdr:cNvSpPr/>
      </xdr:nvSpPr>
      <xdr:spPr>
        <a:xfrm>
          <a:off x="0" y="381000"/>
          <a:ext cx="1141730" cy="419100"/>
        </a:xfrm>
        <a:prstGeom prst="chevron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200" b="1">
              <a:solidFill>
                <a:schemeClr val="bg1"/>
              </a:solidFill>
            </a:rPr>
            <a:t>KPI Card</a:t>
          </a:r>
          <a:endParaRPr lang="en-US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9525</xdr:colOff>
      <xdr:row>6</xdr:row>
      <xdr:rowOff>0</xdr:rowOff>
    </xdr:from>
    <xdr:to>
      <xdr:col>1</xdr:col>
      <xdr:colOff>466090</xdr:colOff>
      <xdr:row>8</xdr:row>
      <xdr:rowOff>76200</xdr:rowOff>
    </xdr:to>
    <xdr:sp>
      <xdr:nvSpPr>
        <xdr:cNvPr id="4" name="Chevron 3"/>
        <xdr:cNvSpPr/>
      </xdr:nvSpPr>
      <xdr:spPr>
        <a:xfrm>
          <a:off x="9525" y="1143000"/>
          <a:ext cx="1066165" cy="466725"/>
        </a:xfrm>
        <a:prstGeom prst="chevron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200" b="1">
              <a:solidFill>
                <a:schemeClr val="bg1"/>
              </a:solidFill>
            </a:rPr>
            <a:t>charts</a:t>
          </a:r>
          <a:endParaRPr lang="en-US" sz="1200" b="1">
            <a:solidFill>
              <a:schemeClr val="bg1"/>
            </a:solidFill>
          </a:endParaRPr>
        </a:p>
        <a:p>
          <a:pPr algn="l"/>
          <a:endParaRPr lang="en-US" sz="1200" b="1">
            <a:solidFill>
              <a:schemeClr val="bg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104775</xdr:colOff>
      <xdr:row>0</xdr:row>
      <xdr:rowOff>104775</xdr:rowOff>
    </xdr:from>
    <xdr:to>
      <xdr:col>3</xdr:col>
      <xdr:colOff>476250</xdr:colOff>
      <xdr:row>3</xdr:row>
      <xdr:rowOff>66675</xdr:rowOff>
    </xdr:to>
    <xdr:sp>
      <xdr:nvSpPr>
        <xdr:cNvPr id="2" name="Rounded Rectangle 1"/>
        <xdr:cNvSpPr/>
      </xdr:nvSpPr>
      <xdr:spPr>
        <a:xfrm>
          <a:off x="104775" y="104775"/>
          <a:ext cx="2200275" cy="533400"/>
        </a:xfrm>
        <a:prstGeom prst="roundRect">
          <a:avLst/>
        </a:prstGeom>
        <a:solidFill>
          <a:schemeClr val="accent3">
            <a:lumMod val="5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 anchorCtr="0"/>
        <a:p>
          <a:pPr algn="ctr"/>
          <a:r>
            <a:rPr lang="en-US" sz="2000" b="1">
              <a:latin typeface="+mn-ea"/>
              <a:cs typeface="+mn-ea"/>
            </a:rPr>
            <a:t>FILTERS</a:t>
          </a:r>
          <a:endParaRPr lang="en-US" sz="2000" b="1">
            <a:latin typeface="+mn-ea"/>
            <a:cs typeface="+mn-ea"/>
          </a:endParaRPr>
        </a:p>
        <a:p>
          <a:pPr algn="ctr"/>
          <a:endParaRPr lang="en-US" sz="2000" b="1">
            <a:latin typeface="+mn-ea"/>
            <a:cs typeface="+mn-ea"/>
          </a:endParaRPr>
        </a:p>
      </xdr:txBody>
    </xdr:sp>
    <xdr:clientData/>
  </xdr:twoCellAnchor>
  <xdr:twoCellAnchor editAs="absolute">
    <xdr:from>
      <xdr:col>0</xdr:col>
      <xdr:colOff>104775</xdr:colOff>
      <xdr:row>4</xdr:row>
      <xdr:rowOff>12065</xdr:rowOff>
    </xdr:from>
    <xdr:to>
      <xdr:col>3</xdr:col>
      <xdr:colOff>494665</xdr:colOff>
      <xdr:row>36</xdr:row>
      <xdr:rowOff>139700</xdr:rowOff>
    </xdr:to>
    <xdr:sp>
      <xdr:nvSpPr>
        <xdr:cNvPr id="3" name="Rounded Rectangle 2"/>
        <xdr:cNvSpPr/>
      </xdr:nvSpPr>
      <xdr:spPr>
        <a:xfrm>
          <a:off x="104775" y="774065"/>
          <a:ext cx="2218690" cy="6426835"/>
        </a:xfrm>
        <a:prstGeom prst="roundRect">
          <a:avLst/>
        </a:prstGeom>
        <a:solidFill>
          <a:schemeClr val="accent3">
            <a:lumMod val="5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 editAs="absolute">
    <xdr:from>
      <xdr:col>4</xdr:col>
      <xdr:colOff>76200</xdr:colOff>
      <xdr:row>0</xdr:row>
      <xdr:rowOff>114300</xdr:rowOff>
    </xdr:from>
    <xdr:to>
      <xdr:col>18</xdr:col>
      <xdr:colOff>974725</xdr:colOff>
      <xdr:row>3</xdr:row>
      <xdr:rowOff>9525</xdr:rowOff>
    </xdr:to>
    <xdr:sp>
      <xdr:nvSpPr>
        <xdr:cNvPr id="4" name="Rounded Rectangle 3"/>
        <xdr:cNvSpPr/>
      </xdr:nvSpPr>
      <xdr:spPr>
        <a:xfrm>
          <a:off x="2514600" y="114300"/>
          <a:ext cx="10011410" cy="466725"/>
        </a:xfrm>
        <a:prstGeom prst="roundRect">
          <a:avLst/>
        </a:prstGeom>
        <a:solidFill>
          <a:schemeClr val="accent3">
            <a:lumMod val="5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sz="2400" b="1"/>
            <a:t>HR Analytics Dashboard</a:t>
          </a:r>
          <a:endParaRPr lang="en-US" sz="2400" b="1"/>
        </a:p>
      </xdr:txBody>
    </xdr:sp>
    <xdr:clientData/>
  </xdr:twoCellAnchor>
  <xdr:twoCellAnchor editAs="absolute">
    <xdr:from>
      <xdr:col>4</xdr:col>
      <xdr:colOff>114300</xdr:colOff>
      <xdr:row>3</xdr:row>
      <xdr:rowOff>152400</xdr:rowOff>
    </xdr:from>
    <xdr:to>
      <xdr:col>6</xdr:col>
      <xdr:colOff>381000</xdr:colOff>
      <xdr:row>7</xdr:row>
      <xdr:rowOff>8890</xdr:rowOff>
    </xdr:to>
    <xdr:sp>
      <xdr:nvSpPr>
        <xdr:cNvPr id="5" name="Rounded Rectangle 4"/>
        <xdr:cNvSpPr/>
      </xdr:nvSpPr>
      <xdr:spPr>
        <a:xfrm>
          <a:off x="2552700" y="723900"/>
          <a:ext cx="1485900" cy="618490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>
            <a:ln w="15875" cmpd="sng">
              <a:solidFill>
                <a:schemeClr val="tx1"/>
              </a:solidFill>
              <a:prstDash val="solid"/>
            </a:ln>
          </a:endParaRPr>
        </a:p>
      </xdr:txBody>
    </xdr:sp>
    <xdr:clientData/>
  </xdr:twoCellAnchor>
  <xdr:twoCellAnchor>
    <xdr:from>
      <xdr:col>4</xdr:col>
      <xdr:colOff>154940</xdr:colOff>
      <xdr:row>3</xdr:row>
      <xdr:rowOff>153035</xdr:rowOff>
    </xdr:from>
    <xdr:to>
      <xdr:col>6</xdr:col>
      <xdr:colOff>273050</xdr:colOff>
      <xdr:row>5</xdr:row>
      <xdr:rowOff>73025</xdr:rowOff>
    </xdr:to>
    <xdr:sp>
      <xdr:nvSpPr>
        <xdr:cNvPr id="7" name="Text Box 6"/>
        <xdr:cNvSpPr txBox="1"/>
      </xdr:nvSpPr>
      <xdr:spPr>
        <a:xfrm>
          <a:off x="2593340" y="724535"/>
          <a:ext cx="1337310" cy="30099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en-US" sz="1200" b="1"/>
            <a:t>Total Employees</a:t>
          </a:r>
          <a:endParaRPr lang="en-US" sz="1200" b="1"/>
        </a:p>
      </xdr:txBody>
    </xdr:sp>
    <xdr:clientData/>
  </xdr:twoCellAnchor>
  <xdr:twoCellAnchor editAs="absolute">
    <xdr:from>
      <xdr:col>6</xdr:col>
      <xdr:colOff>561975</xdr:colOff>
      <xdr:row>3</xdr:row>
      <xdr:rowOff>160020</xdr:rowOff>
    </xdr:from>
    <xdr:to>
      <xdr:col>9</xdr:col>
      <xdr:colOff>237490</xdr:colOff>
      <xdr:row>6</xdr:row>
      <xdr:rowOff>189865</xdr:rowOff>
    </xdr:to>
    <xdr:grpSp>
      <xdr:nvGrpSpPr>
        <xdr:cNvPr id="10" name="Group 9"/>
        <xdr:cNvGrpSpPr/>
      </xdr:nvGrpSpPr>
      <xdr:grpSpPr>
        <a:xfrm>
          <a:off x="4219575" y="731520"/>
          <a:ext cx="1504315" cy="601345"/>
          <a:chOff x="3000" y="1260"/>
          <a:chExt cx="2220" cy="929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>
        <xdr:nvSpPr>
          <xdr:cNvPr id="11" name="Rounded Rectangle 10"/>
          <xdr:cNvSpPr/>
        </xdr:nvSpPr>
        <xdr:spPr>
          <a:xfrm>
            <a:off x="3000" y="1260"/>
            <a:ext cx="2220" cy="929"/>
          </a:xfrm>
          <a:prstGeom prst="round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/>
          </a:p>
        </xdr:txBody>
      </xdr:sp>
      <xdr:sp>
        <xdr:nvSpPr>
          <xdr:cNvPr id="12" name="Text Box 11"/>
          <xdr:cNvSpPr txBox="1"/>
        </xdr:nvSpPr>
        <xdr:spPr>
          <a:xfrm>
            <a:off x="3046" y="1261"/>
            <a:ext cx="2084" cy="43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sz="1200" b="1"/>
              <a:t>Active Employees</a:t>
            </a:r>
            <a:endParaRPr lang="en-US" sz="1200" b="1"/>
          </a:p>
        </xdr:txBody>
      </xdr:sp>
      <xdr:sp textlink="Sheet2!$E$4">
        <xdr:nvSpPr>
          <xdr:cNvPr id="13" name="Text Box 12"/>
          <xdr:cNvSpPr txBox="1"/>
        </xdr:nvSpPr>
        <xdr:spPr>
          <a:xfrm>
            <a:off x="3537" y="1636"/>
            <a:ext cx="1039" cy="49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fld id="{BB962C8B-B14F-4D97-AF65-F5344CB8AC3E}" type="TxLink">
              <a:rPr lang="en-US" sz="1600" b="1">
                <a:solidFill>
                  <a:schemeClr val="accent3">
                    <a:lumMod val="75000"/>
                  </a:schemeClr>
                </a:solidFill>
              </a:rPr>
              <a:t>448</a:t>
            </a:fld>
            <a:endParaRPr lang="en-US" sz="1600" b="1">
              <a:solidFill>
                <a:schemeClr val="accent3">
                  <a:lumMod val="75000"/>
                </a:schemeClr>
              </a:solidFill>
            </a:endParaRPr>
          </a:p>
        </xdr:txBody>
      </xdr:sp>
    </xdr:grpSp>
    <xdr:clientData/>
  </xdr:twoCellAnchor>
  <xdr:twoCellAnchor editAs="absolute">
    <xdr:from>
      <xdr:col>9</xdr:col>
      <xdr:colOff>416560</xdr:colOff>
      <xdr:row>3</xdr:row>
      <xdr:rowOff>158750</xdr:rowOff>
    </xdr:from>
    <xdr:to>
      <xdr:col>12</xdr:col>
      <xdr:colOff>133350</xdr:colOff>
      <xdr:row>6</xdr:row>
      <xdr:rowOff>189865</xdr:rowOff>
    </xdr:to>
    <xdr:grpSp>
      <xdr:nvGrpSpPr>
        <xdr:cNvPr id="14" name="Group 13"/>
        <xdr:cNvGrpSpPr/>
      </xdr:nvGrpSpPr>
      <xdr:grpSpPr>
        <a:xfrm>
          <a:off x="5902960" y="730250"/>
          <a:ext cx="1545590" cy="602615"/>
          <a:chOff x="3000" y="1240"/>
          <a:chExt cx="2291" cy="949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>
        <xdr:nvSpPr>
          <xdr:cNvPr id="15" name="Rounded Rectangle 14"/>
          <xdr:cNvSpPr/>
        </xdr:nvSpPr>
        <xdr:spPr>
          <a:xfrm>
            <a:off x="3000" y="1240"/>
            <a:ext cx="2291" cy="949"/>
          </a:xfrm>
          <a:prstGeom prst="round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/>
          </a:p>
        </xdr:txBody>
      </xdr:sp>
      <xdr:sp>
        <xdr:nvSpPr>
          <xdr:cNvPr id="16" name="Text Box 15"/>
          <xdr:cNvSpPr txBox="1"/>
        </xdr:nvSpPr>
        <xdr:spPr>
          <a:xfrm>
            <a:off x="3002" y="1261"/>
            <a:ext cx="2202" cy="40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sz="1200" b="1"/>
              <a:t>Inactive Employees</a:t>
            </a:r>
            <a:endParaRPr lang="en-US" sz="1200" b="1"/>
          </a:p>
        </xdr:txBody>
      </xdr:sp>
      <xdr:sp textlink="Sheet2!$G$4">
        <xdr:nvSpPr>
          <xdr:cNvPr id="17" name="Text Box 16"/>
          <xdr:cNvSpPr txBox="1"/>
        </xdr:nvSpPr>
        <xdr:spPr>
          <a:xfrm>
            <a:off x="3609" y="1696"/>
            <a:ext cx="880" cy="48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fld id="{BB962C8B-B14F-4D97-AF65-F5344CB8AC3E}" type="TxLink">
              <a:rPr lang="en-US" sz="1600" b="1">
                <a:solidFill>
                  <a:schemeClr val="accent3">
                    <a:lumMod val="75000"/>
                  </a:schemeClr>
                </a:solidFill>
              </a:rPr>
              <a:t>52</a:t>
            </a:fld>
            <a:endParaRPr lang="en-US" sz="1600" b="1">
              <a:solidFill>
                <a:schemeClr val="accent3">
                  <a:lumMod val="75000"/>
                </a:schemeClr>
              </a:solidFill>
            </a:endParaRPr>
          </a:p>
        </xdr:txBody>
      </xdr:sp>
    </xdr:grpSp>
    <xdr:clientData/>
  </xdr:twoCellAnchor>
  <xdr:twoCellAnchor editAs="absolute">
    <xdr:from>
      <xdr:col>12</xdr:col>
      <xdr:colOff>257175</xdr:colOff>
      <xdr:row>3</xdr:row>
      <xdr:rowOff>161925</xdr:rowOff>
    </xdr:from>
    <xdr:to>
      <xdr:col>14</xdr:col>
      <xdr:colOff>551180</xdr:colOff>
      <xdr:row>6</xdr:row>
      <xdr:rowOff>180340</xdr:rowOff>
    </xdr:to>
    <xdr:grpSp>
      <xdr:nvGrpSpPr>
        <xdr:cNvPr id="18" name="Group 17"/>
        <xdr:cNvGrpSpPr/>
      </xdr:nvGrpSpPr>
      <xdr:grpSpPr>
        <a:xfrm>
          <a:off x="7572375" y="733425"/>
          <a:ext cx="1513205" cy="589915"/>
          <a:chOff x="3000" y="1260"/>
          <a:chExt cx="2220" cy="929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>
        <xdr:nvSpPr>
          <xdr:cNvPr id="19" name="Rounded Rectangle 18"/>
          <xdr:cNvSpPr/>
        </xdr:nvSpPr>
        <xdr:spPr>
          <a:xfrm>
            <a:off x="3000" y="1260"/>
            <a:ext cx="2220" cy="929"/>
          </a:xfrm>
          <a:prstGeom prst="round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/>
          </a:p>
        </xdr:txBody>
      </xdr:sp>
      <xdr:sp>
        <xdr:nvSpPr>
          <xdr:cNvPr id="20" name="Text Box 19"/>
          <xdr:cNvSpPr txBox="1"/>
        </xdr:nvSpPr>
        <xdr:spPr>
          <a:xfrm>
            <a:off x="3120" y="1261"/>
            <a:ext cx="2010" cy="43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sz="1200" b="1"/>
              <a:t>Average Salary</a:t>
            </a:r>
            <a:endParaRPr lang="en-US" sz="1200" b="1"/>
          </a:p>
          <a:p>
            <a:pPr algn="l"/>
            <a:endParaRPr lang="en-US" sz="1200" b="1"/>
          </a:p>
        </xdr:txBody>
      </xdr:sp>
      <xdr:sp textlink="Sheet2!$I$4">
        <xdr:nvSpPr>
          <xdr:cNvPr id="21" name="Text Box 20"/>
          <xdr:cNvSpPr txBox="1"/>
        </xdr:nvSpPr>
        <xdr:spPr>
          <a:xfrm>
            <a:off x="3173" y="1636"/>
            <a:ext cx="1320" cy="52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fld id="{BB962C8B-B14F-4D97-AF65-F5344CB8AC3E}" type="TxLink">
              <a:rPr lang="en-US" sz="1600" b="1">
                <a:solidFill>
                  <a:schemeClr val="accent3">
                    <a:lumMod val="75000"/>
                  </a:schemeClr>
                </a:solidFill>
              </a:rPr>
              <a:t>₹77,126 </a:t>
            </a:fld>
            <a:endParaRPr lang="en-US" sz="1600" b="1">
              <a:solidFill>
                <a:schemeClr val="accent3">
                  <a:lumMod val="75000"/>
                </a:schemeClr>
              </a:solidFill>
            </a:endParaRPr>
          </a:p>
        </xdr:txBody>
      </xdr:sp>
    </xdr:grpSp>
    <xdr:clientData/>
  </xdr:twoCellAnchor>
  <xdr:twoCellAnchor editAs="absolute">
    <xdr:from>
      <xdr:col>15</xdr:col>
      <xdr:colOff>95250</xdr:colOff>
      <xdr:row>3</xdr:row>
      <xdr:rowOff>152400</xdr:rowOff>
    </xdr:from>
    <xdr:to>
      <xdr:col>17</xdr:col>
      <xdr:colOff>412115</xdr:colOff>
      <xdr:row>6</xdr:row>
      <xdr:rowOff>170815</xdr:rowOff>
    </xdr:to>
    <xdr:grpSp>
      <xdr:nvGrpSpPr>
        <xdr:cNvPr id="22" name="Group 21"/>
        <xdr:cNvGrpSpPr/>
      </xdr:nvGrpSpPr>
      <xdr:grpSpPr>
        <a:xfrm>
          <a:off x="9239250" y="723900"/>
          <a:ext cx="1495425" cy="589915"/>
          <a:chOff x="3000" y="1260"/>
          <a:chExt cx="2220" cy="929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>
        <xdr:nvSpPr>
          <xdr:cNvPr id="23" name="Rounded Rectangle 22"/>
          <xdr:cNvSpPr/>
        </xdr:nvSpPr>
        <xdr:spPr>
          <a:xfrm>
            <a:off x="3000" y="1260"/>
            <a:ext cx="2220" cy="929"/>
          </a:xfrm>
          <a:prstGeom prst="round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/>
          </a:p>
        </xdr:txBody>
      </xdr:sp>
      <xdr:sp>
        <xdr:nvSpPr>
          <xdr:cNvPr id="24" name="Text Box 23"/>
          <xdr:cNvSpPr txBox="1"/>
        </xdr:nvSpPr>
        <xdr:spPr>
          <a:xfrm>
            <a:off x="3020" y="1261"/>
            <a:ext cx="2149" cy="419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sz="1200" b="1"/>
              <a:t>Average Experience</a:t>
            </a:r>
            <a:endParaRPr lang="en-US" sz="1200" b="1"/>
          </a:p>
        </xdr:txBody>
      </xdr:sp>
      <xdr:sp textlink="Sheet2!$K$4">
        <xdr:nvSpPr>
          <xdr:cNvPr id="25" name="Text Box 24"/>
          <xdr:cNvSpPr txBox="1"/>
        </xdr:nvSpPr>
        <xdr:spPr>
          <a:xfrm>
            <a:off x="3637" y="1666"/>
            <a:ext cx="823" cy="49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fld id="{BB962C8B-B14F-4D97-AF65-F5344CB8AC3E}" type="TxLink">
              <a:rPr lang="en-US" sz="1600" b="1">
                <a:solidFill>
                  <a:schemeClr val="accent3">
                    <a:lumMod val="75000"/>
                  </a:schemeClr>
                </a:solidFill>
              </a:rPr>
              <a:t>6.2 </a:t>
            </a:fld>
            <a:endParaRPr lang="en-US" sz="1600" b="1">
              <a:solidFill>
                <a:schemeClr val="accent3">
                  <a:lumMod val="75000"/>
                </a:schemeClr>
              </a:solidFill>
            </a:endParaRPr>
          </a:p>
        </xdr:txBody>
      </xdr:sp>
    </xdr:grpSp>
    <xdr:clientData/>
  </xdr:twoCellAnchor>
  <xdr:twoCellAnchor editAs="absolute">
    <xdr:from>
      <xdr:col>17</xdr:col>
      <xdr:colOff>574040</xdr:colOff>
      <xdr:row>3</xdr:row>
      <xdr:rowOff>133350</xdr:rowOff>
    </xdr:from>
    <xdr:to>
      <xdr:col>18</xdr:col>
      <xdr:colOff>849630</xdr:colOff>
      <xdr:row>6</xdr:row>
      <xdr:rowOff>151765</xdr:rowOff>
    </xdr:to>
    <xdr:grpSp>
      <xdr:nvGrpSpPr>
        <xdr:cNvPr id="26" name="Group 25"/>
        <xdr:cNvGrpSpPr/>
      </xdr:nvGrpSpPr>
      <xdr:grpSpPr>
        <a:xfrm>
          <a:off x="10896600" y="704850"/>
          <a:ext cx="1504315" cy="589915"/>
          <a:chOff x="3000" y="1260"/>
          <a:chExt cx="2220" cy="929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>
        <xdr:nvSpPr>
          <xdr:cNvPr id="27" name="Rounded Rectangle 26"/>
          <xdr:cNvSpPr/>
        </xdr:nvSpPr>
        <xdr:spPr>
          <a:xfrm>
            <a:off x="3000" y="1260"/>
            <a:ext cx="2220" cy="929"/>
          </a:xfrm>
          <a:prstGeom prst="round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/>
          </a:p>
        </xdr:txBody>
      </xdr:sp>
      <xdr:sp>
        <xdr:nvSpPr>
          <xdr:cNvPr id="28" name="Text Box 27"/>
          <xdr:cNvSpPr txBox="1"/>
        </xdr:nvSpPr>
        <xdr:spPr>
          <a:xfrm>
            <a:off x="3120" y="1261"/>
            <a:ext cx="2010" cy="43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sz="1200" b="1"/>
              <a:t>Avg.  Performance </a:t>
            </a:r>
            <a:endParaRPr lang="en-US" sz="1200" b="1"/>
          </a:p>
        </xdr:txBody>
      </xdr:sp>
      <xdr:sp textlink="Sheet2!$M$4">
        <xdr:nvSpPr>
          <xdr:cNvPr id="29" name="Text Box 28"/>
          <xdr:cNvSpPr txBox="1"/>
        </xdr:nvSpPr>
        <xdr:spPr>
          <a:xfrm>
            <a:off x="3550" y="1696"/>
            <a:ext cx="842" cy="479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fld id="{BB962C8B-B14F-4D97-AF65-F5344CB8AC3E}" type="TxLink">
              <a:rPr lang="en-US" sz="1600" b="1">
                <a:solidFill>
                  <a:schemeClr val="accent3">
                    <a:lumMod val="75000"/>
                  </a:schemeClr>
                </a:solidFill>
              </a:rPr>
              <a:t>7.5 </a:t>
            </a:fld>
            <a:endParaRPr lang="en-US" sz="1600" b="1">
              <a:solidFill>
                <a:schemeClr val="accent3">
                  <a:lumMod val="75000"/>
                </a:schemeClr>
              </a:solidFill>
            </a:endParaRPr>
          </a:p>
        </xdr:txBody>
      </xdr:sp>
    </xdr:grpSp>
    <xdr:clientData/>
  </xdr:twoCellAnchor>
  <xdr:twoCellAnchor editAs="oneCell">
    <xdr:from>
      <xdr:col>8</xdr:col>
      <xdr:colOff>362585</xdr:colOff>
      <xdr:row>5</xdr:row>
      <xdr:rowOff>18415</xdr:rowOff>
    </xdr:from>
    <xdr:to>
      <xdr:col>9</xdr:col>
      <xdr:colOff>224155</xdr:colOff>
      <xdr:row>6</xdr:row>
      <xdr:rowOff>187960</xdr:rowOff>
    </xdr:to>
    <xdr:pic>
      <xdr:nvPicPr>
        <xdr:cNvPr id="6" name="Picture 5" descr="image_753eacfb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5239385" y="970915"/>
          <a:ext cx="471170" cy="360045"/>
        </a:xfrm>
        <a:prstGeom prst="rect">
          <a:avLst/>
        </a:prstGeom>
      </xdr:spPr>
    </xdr:pic>
    <xdr:clientData/>
  </xdr:twoCellAnchor>
  <xdr:twoCellAnchor editAs="oneCell">
    <xdr:from>
      <xdr:col>11</xdr:col>
      <xdr:colOff>226060</xdr:colOff>
      <xdr:row>5</xdr:row>
      <xdr:rowOff>33020</xdr:rowOff>
    </xdr:from>
    <xdr:to>
      <xdr:col>12</xdr:col>
      <xdr:colOff>63500</xdr:colOff>
      <xdr:row>7</xdr:row>
      <xdr:rowOff>4445</xdr:rowOff>
    </xdr:to>
    <xdr:pic>
      <xdr:nvPicPr>
        <xdr:cNvPr id="9" name="Picture 8" descr="image_15aa1731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6931660" y="985520"/>
          <a:ext cx="447040" cy="352425"/>
        </a:xfrm>
        <a:prstGeom prst="rect">
          <a:avLst/>
        </a:prstGeom>
      </xdr:spPr>
    </xdr:pic>
    <xdr:clientData/>
  </xdr:twoCellAnchor>
  <xdr:twoCellAnchor editAs="oneCell">
    <xdr:from>
      <xdr:col>16</xdr:col>
      <xdr:colOff>880745</xdr:colOff>
      <xdr:row>5</xdr:row>
      <xdr:rowOff>1905</xdr:rowOff>
    </xdr:from>
    <xdr:to>
      <xdr:col>17</xdr:col>
      <xdr:colOff>393700</xdr:colOff>
      <xdr:row>6</xdr:row>
      <xdr:rowOff>160655</xdr:rowOff>
    </xdr:to>
    <xdr:pic>
      <xdr:nvPicPr>
        <xdr:cNvPr id="30" name="Picture 29" descr="growth-chart-icon-grow-diagram-flat-vector-illustration-busine-business-concept-95193172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0227310" y="954405"/>
          <a:ext cx="488950" cy="349250"/>
        </a:xfrm>
        <a:prstGeom prst="rect">
          <a:avLst/>
        </a:prstGeom>
      </xdr:spPr>
    </xdr:pic>
    <xdr:clientData/>
  </xdr:twoCellAnchor>
  <xdr:twoCellAnchor editAs="oneCell">
    <xdr:from>
      <xdr:col>18</xdr:col>
      <xdr:colOff>432435</xdr:colOff>
      <xdr:row>4</xdr:row>
      <xdr:rowOff>152400</xdr:rowOff>
    </xdr:from>
    <xdr:to>
      <xdr:col>18</xdr:col>
      <xdr:colOff>816610</xdr:colOff>
      <xdr:row>6</xdr:row>
      <xdr:rowOff>116205</xdr:rowOff>
    </xdr:to>
    <xdr:pic>
      <xdr:nvPicPr>
        <xdr:cNvPr id="31" name="Picture 30" descr="download"/>
        <xdr:cNvPicPr>
          <a:picLocks noChangeAspect="1"/>
        </xdr:cNvPicPr>
      </xdr:nvPicPr>
      <xdr:blipFill>
        <a:blip r:embed="rId12">
          <a:lum contrast="12000"/>
        </a:blip>
        <a:stretch>
          <a:fillRect/>
        </a:stretch>
      </xdr:blipFill>
      <xdr:spPr>
        <a:xfrm>
          <a:off x="11983720" y="914400"/>
          <a:ext cx="384175" cy="344805"/>
        </a:xfrm>
        <a:prstGeom prst="rect">
          <a:avLst/>
        </a:prstGeom>
      </xdr:spPr>
    </xdr:pic>
    <xdr:clientData/>
  </xdr:twoCellAnchor>
  <xdr:twoCellAnchor editAs="oneCell">
    <xdr:from>
      <xdr:col>5</xdr:col>
      <xdr:colOff>370205</xdr:colOff>
      <xdr:row>4</xdr:row>
      <xdr:rowOff>189230</xdr:rowOff>
    </xdr:from>
    <xdr:to>
      <xdr:col>6</xdr:col>
      <xdr:colOff>299720</xdr:colOff>
      <xdr:row>7</xdr:row>
      <xdr:rowOff>5080</xdr:rowOff>
    </xdr:to>
    <xdr:pic>
      <xdr:nvPicPr>
        <xdr:cNvPr id="32" name="Picture 31" descr="078aa1fe4e0120daa89b57f355ff5c19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3418205" y="951230"/>
          <a:ext cx="539115" cy="387350"/>
        </a:xfrm>
        <a:prstGeom prst="rect">
          <a:avLst/>
        </a:prstGeom>
      </xdr:spPr>
    </xdr:pic>
    <xdr:clientData/>
  </xdr:twoCellAnchor>
  <xdr:twoCellAnchor editAs="oneCell">
    <xdr:from>
      <xdr:col>14</xdr:col>
      <xdr:colOff>53975</xdr:colOff>
      <xdr:row>4</xdr:row>
      <xdr:rowOff>187960</xdr:rowOff>
    </xdr:from>
    <xdr:to>
      <xdr:col>14</xdr:col>
      <xdr:colOff>474345</xdr:colOff>
      <xdr:row>6</xdr:row>
      <xdr:rowOff>165735</xdr:rowOff>
    </xdr:to>
    <xdr:pic>
      <xdr:nvPicPr>
        <xdr:cNvPr id="33" name="Picture 32" descr="images (1)"/>
        <xdr:cNvPicPr>
          <a:picLocks noChangeAspect="1"/>
        </xdr:cNvPicPr>
      </xdr:nvPicPr>
      <xdr:blipFill>
        <a:blip r:embed="rId14">
          <a:lum contrast="6000"/>
        </a:blip>
        <a:stretch>
          <a:fillRect/>
        </a:stretch>
      </xdr:blipFill>
      <xdr:spPr>
        <a:xfrm>
          <a:off x="8588375" y="949960"/>
          <a:ext cx="420370" cy="358775"/>
        </a:xfrm>
        <a:prstGeom prst="rect">
          <a:avLst/>
        </a:prstGeom>
      </xdr:spPr>
    </xdr:pic>
    <xdr:clientData/>
  </xdr:twoCellAnchor>
  <xdr:oneCellAnchor>
    <xdr:from>
      <xdr:col>5</xdr:col>
      <xdr:colOff>76200</xdr:colOff>
      <xdr:row>7</xdr:row>
      <xdr:rowOff>85725</xdr:rowOff>
    </xdr:from>
    <xdr:ext cx="309880" cy="273685"/>
    <xdr:sp>
      <xdr:nvSpPr>
        <xdr:cNvPr id="8" name="Text Box 7"/>
        <xdr:cNvSpPr txBox="1"/>
      </xdr:nvSpPr>
      <xdr:spPr>
        <a:xfrm>
          <a:off x="3124200" y="1419225"/>
          <a:ext cx="309880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 anchorCtr="0">
          <a:spAutoFit/>
        </a:bodyPr>
        <a:p>
          <a:pPr algn="l"/>
          <a:endParaRPr lang="en-US" sz="1100"/>
        </a:p>
      </xdr:txBody>
    </xdr:sp>
    <xdr:clientData/>
  </xdr:oneCellAnchor>
  <xdr:twoCellAnchor editAs="absolute">
    <xdr:from>
      <xdr:col>4</xdr:col>
      <xdr:colOff>139700</xdr:colOff>
      <xdr:row>7</xdr:row>
      <xdr:rowOff>111125</xdr:rowOff>
    </xdr:from>
    <xdr:to>
      <xdr:col>9</xdr:col>
      <xdr:colOff>355600</xdr:colOff>
      <xdr:row>17</xdr:row>
      <xdr:rowOff>88265</xdr:rowOff>
    </xdr:to>
    <xdr:graphicFrame>
      <xdr:nvGraphicFramePr>
        <xdr:cNvPr id="34" name="Chart 33"/>
        <xdr:cNvGraphicFramePr/>
      </xdr:nvGraphicFramePr>
      <xdr:xfrm>
        <a:off x="2578100" y="1444625"/>
        <a:ext cx="3263900" cy="18821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9</xdr:col>
      <xdr:colOff>415290</xdr:colOff>
      <xdr:row>7</xdr:row>
      <xdr:rowOff>114300</xdr:rowOff>
    </xdr:from>
    <xdr:to>
      <xdr:col>15</xdr:col>
      <xdr:colOff>62865</xdr:colOff>
      <xdr:row>17</xdr:row>
      <xdr:rowOff>94615</xdr:rowOff>
    </xdr:to>
    <xdr:graphicFrame>
      <xdr:nvGraphicFramePr>
        <xdr:cNvPr id="35" name="Chart 34"/>
        <xdr:cNvGraphicFramePr/>
      </xdr:nvGraphicFramePr>
      <xdr:xfrm>
        <a:off x="5901690" y="1447800"/>
        <a:ext cx="3305175" cy="18853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15</xdr:col>
      <xdr:colOff>130810</xdr:colOff>
      <xdr:row>7</xdr:row>
      <xdr:rowOff>107950</xdr:rowOff>
    </xdr:from>
    <xdr:to>
      <xdr:col>18</xdr:col>
      <xdr:colOff>996315</xdr:colOff>
      <xdr:row>17</xdr:row>
      <xdr:rowOff>74295</xdr:rowOff>
    </xdr:to>
    <xdr:graphicFrame>
      <xdr:nvGraphicFramePr>
        <xdr:cNvPr id="36" name="Chart 35"/>
        <xdr:cNvGraphicFramePr/>
      </xdr:nvGraphicFramePr>
      <xdr:xfrm>
        <a:off x="9274810" y="1441450"/>
        <a:ext cx="3272790" cy="18713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4</xdr:col>
      <xdr:colOff>146050</xdr:colOff>
      <xdr:row>17</xdr:row>
      <xdr:rowOff>133350</xdr:rowOff>
    </xdr:from>
    <xdr:to>
      <xdr:col>9</xdr:col>
      <xdr:colOff>362585</xdr:colOff>
      <xdr:row>27</xdr:row>
      <xdr:rowOff>140970</xdr:rowOff>
    </xdr:to>
    <xdr:graphicFrame>
      <xdr:nvGraphicFramePr>
        <xdr:cNvPr id="37" name="Chart 36"/>
        <xdr:cNvGraphicFramePr/>
      </xdr:nvGraphicFramePr>
      <xdr:xfrm>
        <a:off x="2584450" y="3371850"/>
        <a:ext cx="3264535" cy="19126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absolute">
    <xdr:from>
      <xdr:col>9</xdr:col>
      <xdr:colOff>431165</xdr:colOff>
      <xdr:row>17</xdr:row>
      <xdr:rowOff>142875</xdr:rowOff>
    </xdr:from>
    <xdr:to>
      <xdr:col>15</xdr:col>
      <xdr:colOff>48260</xdr:colOff>
      <xdr:row>27</xdr:row>
      <xdr:rowOff>132080</xdr:rowOff>
    </xdr:to>
    <xdr:graphicFrame>
      <xdr:nvGraphicFramePr>
        <xdr:cNvPr id="38" name="Chart 37"/>
        <xdr:cNvGraphicFramePr/>
      </xdr:nvGraphicFramePr>
      <xdr:xfrm>
        <a:off x="5917565" y="3381375"/>
        <a:ext cx="3274695" cy="18942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absolute">
    <xdr:from>
      <xdr:col>15</xdr:col>
      <xdr:colOff>111760</xdr:colOff>
      <xdr:row>17</xdr:row>
      <xdr:rowOff>123825</xdr:rowOff>
    </xdr:from>
    <xdr:to>
      <xdr:col>18</xdr:col>
      <xdr:colOff>1009650</xdr:colOff>
      <xdr:row>27</xdr:row>
      <xdr:rowOff>113030</xdr:rowOff>
    </xdr:to>
    <xdr:graphicFrame>
      <xdr:nvGraphicFramePr>
        <xdr:cNvPr id="39" name="Chart 38"/>
        <xdr:cNvGraphicFramePr/>
      </xdr:nvGraphicFramePr>
      <xdr:xfrm>
        <a:off x="9255760" y="3362325"/>
        <a:ext cx="3305175" cy="18942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509905</xdr:colOff>
      <xdr:row>5</xdr:row>
      <xdr:rowOff>44450</xdr:rowOff>
    </xdr:from>
    <xdr:to>
      <xdr:col>5</xdr:col>
      <xdr:colOff>438785</xdr:colOff>
      <xdr:row>6</xdr:row>
      <xdr:rowOff>179705</xdr:rowOff>
    </xdr:to>
    <xdr:sp textlink="Sheet2!$C$4">
      <xdr:nvSpPr>
        <xdr:cNvPr id="41" name="Text Box 40">
          <a:hlinkClick xmlns:r="http://schemas.openxmlformats.org/officeDocument/2006/relationships" r:id="rId15"/>
        </xdr:cNvPr>
        <xdr:cNvSpPr txBox="1"/>
      </xdr:nvSpPr>
      <xdr:spPr>
        <a:xfrm>
          <a:off x="2948305" y="996950"/>
          <a:ext cx="538480" cy="32575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cene3d>
            <a:camera prst="orthographicFront"/>
            <a:lightRig rig="threePt" dir="t"/>
          </a:scene3d>
        </a:bodyPr>
        <a:p>
          <a:pPr algn="l"/>
          <a:fld id="{BB962C8B-B14F-4D97-AF65-F5344CB8AC3E}" type="TxLink">
            <a:rPr lang="en-US" sz="1600" b="1">
              <a:solidFill>
                <a:schemeClr val="accent3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ea"/>
              <a:ea typeface="Microsoft YaHei" panose="020B0503020204020204" charset="-122"/>
              <a:cs typeface="+mn-ea"/>
            </a:rPr>
            <a:t>500</a:t>
          </a:fld>
          <a:endParaRPr lang="en-US" sz="1600" b="1">
            <a:solidFill>
              <a:schemeClr val="accent3">
                <a:lumMod val="75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ea"/>
            <a:ea typeface="Microsoft YaHei" panose="020B0503020204020204" charset="-122"/>
            <a:cs typeface="+mn-ea"/>
          </a:endParaRPr>
        </a:p>
      </xdr:txBody>
    </xdr:sp>
    <xdr:clientData/>
  </xdr:twoCellAnchor>
  <xdr:twoCellAnchor editAs="oneCell">
    <xdr:from>
      <xdr:col>0</xdr:col>
      <xdr:colOff>301625</xdr:colOff>
      <xdr:row>16</xdr:row>
      <xdr:rowOff>116840</xdr:rowOff>
    </xdr:from>
    <xdr:to>
      <xdr:col>3</xdr:col>
      <xdr:colOff>351155</xdr:colOff>
      <xdr:row>25</xdr:row>
      <xdr:rowOff>74295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4" name="Departmen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1625" y="3164840"/>
              <a:ext cx="1878330" cy="16719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306705</xdr:colOff>
      <xdr:row>9</xdr:row>
      <xdr:rowOff>32385</xdr:rowOff>
    </xdr:from>
    <xdr:to>
      <xdr:col>3</xdr:col>
      <xdr:colOff>351155</xdr:colOff>
      <xdr:row>16</xdr:row>
      <xdr:rowOff>43815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5" name="Locat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oc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6705" y="1746885"/>
              <a:ext cx="1873250" cy="13449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302260</xdr:colOff>
      <xdr:row>25</xdr:row>
      <xdr:rowOff>154305</xdr:rowOff>
    </xdr:from>
    <xdr:to>
      <xdr:col>3</xdr:col>
      <xdr:colOff>330200</xdr:colOff>
      <xdr:row>29</xdr:row>
      <xdr:rowOff>29210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6" name="Employment_Statu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mployment_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2260" y="4916805"/>
              <a:ext cx="1856740" cy="7385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320040</xdr:colOff>
      <xdr:row>4</xdr:row>
      <xdr:rowOff>183515</xdr:rowOff>
    </xdr:from>
    <xdr:to>
      <xdr:col>3</xdr:col>
      <xdr:colOff>360680</xdr:colOff>
      <xdr:row>8</xdr:row>
      <xdr:rowOff>159385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7" name="Gende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0040" y="945515"/>
              <a:ext cx="1869440" cy="7378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294005</xdr:colOff>
      <xdr:row>29</xdr:row>
      <xdr:rowOff>220980</xdr:rowOff>
    </xdr:from>
    <xdr:to>
      <xdr:col>3</xdr:col>
      <xdr:colOff>323850</xdr:colOff>
      <xdr:row>36</xdr:row>
      <xdr:rowOff>45720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8" name="Joining_Dat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Joining_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4005" y="5847080"/>
              <a:ext cx="1858645" cy="12598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absolute">
    <xdr:from>
      <xdr:col>4</xdr:col>
      <xdr:colOff>133985</xdr:colOff>
      <xdr:row>28</xdr:row>
      <xdr:rowOff>0</xdr:rowOff>
    </xdr:from>
    <xdr:to>
      <xdr:col>9</xdr:col>
      <xdr:colOff>349250</xdr:colOff>
      <xdr:row>37</xdr:row>
      <xdr:rowOff>43180</xdr:rowOff>
    </xdr:to>
    <xdr:graphicFrame>
      <xdr:nvGraphicFramePr>
        <xdr:cNvPr id="43" name="Chart 42"/>
        <xdr:cNvGraphicFramePr/>
      </xdr:nvGraphicFramePr>
      <xdr:xfrm>
        <a:off x="2572385" y="5334000"/>
        <a:ext cx="3263265" cy="1960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absolute">
    <xdr:from>
      <xdr:col>9</xdr:col>
      <xdr:colOff>413385</xdr:colOff>
      <xdr:row>28</xdr:row>
      <xdr:rowOff>0</xdr:rowOff>
    </xdr:from>
    <xdr:to>
      <xdr:col>15</xdr:col>
      <xdr:colOff>74295</xdr:colOff>
      <xdr:row>37</xdr:row>
      <xdr:rowOff>66040</xdr:rowOff>
    </xdr:to>
    <xdr:graphicFrame>
      <xdr:nvGraphicFramePr>
        <xdr:cNvPr id="49" name="Chart 48"/>
        <xdr:cNvGraphicFramePr/>
      </xdr:nvGraphicFramePr>
      <xdr:xfrm>
        <a:off x="5899785" y="5334000"/>
        <a:ext cx="3318510" cy="19837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67.2126273148" refreshedBy="pc" recordCount="500">
  <cacheSource type="worksheet">
    <worksheetSource ref="A1:K501" sheet="HR_Data"/>
  </cacheSource>
  <cacheFields count="11">
    <cacheField name="Employee_ID" numFmtId="0">
      <sharedItems count="500">
        <s v="E0001"/>
        <s v="E0002"/>
        <s v="E0003"/>
        <s v="E0004"/>
        <s v="E0005"/>
        <s v="E0006"/>
        <s v="E0007"/>
        <s v="E0008"/>
        <s v="E0009"/>
        <s v="E0010"/>
        <s v="E0011"/>
        <s v="E0012"/>
        <s v="E0013"/>
        <s v="E0014"/>
        <s v="E0015"/>
        <s v="E0016"/>
        <s v="E0017"/>
        <s v="E0018"/>
        <s v="E0019"/>
        <s v="E0020"/>
        <s v="E0021"/>
        <s v="E0022"/>
        <s v="E0023"/>
        <s v="E0024"/>
        <s v="E0025"/>
        <s v="E0026"/>
        <s v="E0027"/>
        <s v="E0028"/>
        <s v="E0029"/>
        <s v="E0030"/>
        <s v="E0031"/>
        <s v="E0032"/>
        <s v="E0033"/>
        <s v="E0034"/>
        <s v="E0035"/>
        <s v="E0036"/>
        <s v="E0037"/>
        <s v="E0038"/>
        <s v="E0039"/>
        <s v="E0040"/>
        <s v="E0041"/>
        <s v="E0042"/>
        <s v="E0043"/>
        <s v="E0044"/>
        <s v="E0045"/>
        <s v="E0046"/>
        <s v="E0047"/>
        <s v="E0048"/>
        <s v="E0049"/>
        <s v="E0050"/>
        <s v="E0051"/>
        <s v="E0052"/>
        <s v="E0053"/>
        <s v="E0054"/>
        <s v="E0055"/>
        <s v="E0056"/>
        <s v="E0057"/>
        <s v="E0058"/>
        <s v="E0059"/>
        <s v="E0060"/>
        <s v="E0061"/>
        <s v="E0062"/>
        <s v="E0063"/>
        <s v="E0064"/>
        <s v="E0065"/>
        <s v="E0066"/>
        <s v="E0067"/>
        <s v="E0068"/>
        <s v="E0069"/>
        <s v="E0070"/>
        <s v="E0071"/>
        <s v="E0072"/>
        <s v="E0073"/>
        <s v="E0074"/>
        <s v="E0075"/>
        <s v="E0076"/>
        <s v="E0077"/>
        <s v="E0078"/>
        <s v="E0079"/>
        <s v="E0080"/>
        <s v="E0081"/>
        <s v="E0082"/>
        <s v="E0083"/>
        <s v="E0084"/>
        <s v="E0085"/>
        <s v="E0086"/>
        <s v="E0087"/>
        <s v="E0088"/>
        <s v="E0089"/>
        <s v="E0090"/>
        <s v="E0091"/>
        <s v="E0092"/>
        <s v="E0093"/>
        <s v="E0094"/>
        <s v="E0095"/>
        <s v="E0096"/>
        <s v="E0097"/>
        <s v="E0098"/>
        <s v="E0099"/>
        <s v="E0100"/>
        <s v="E0101"/>
        <s v="E0102"/>
        <s v="E0103"/>
        <s v="E0104"/>
        <s v="E0105"/>
        <s v="E0106"/>
        <s v="E0107"/>
        <s v="E0108"/>
        <s v="E0109"/>
        <s v="E0110"/>
        <s v="E0111"/>
        <s v="E0112"/>
        <s v="E0113"/>
        <s v="E0114"/>
        <s v="E0115"/>
        <s v="E0116"/>
        <s v="E0117"/>
        <s v="E0118"/>
        <s v="E0119"/>
        <s v="E0120"/>
        <s v="E0121"/>
        <s v="E0122"/>
        <s v="E0123"/>
        <s v="E0124"/>
        <s v="E0125"/>
        <s v="E0126"/>
        <s v="E0127"/>
        <s v="E0128"/>
        <s v="E0129"/>
        <s v="E0130"/>
        <s v="E0131"/>
        <s v="E0132"/>
        <s v="E0133"/>
        <s v="E0134"/>
        <s v="E0135"/>
        <s v="E0136"/>
        <s v="E0137"/>
        <s v="E0138"/>
        <s v="E0139"/>
        <s v="E0140"/>
        <s v="E0141"/>
        <s v="E0142"/>
        <s v="E0143"/>
        <s v="E0144"/>
        <s v="E0145"/>
        <s v="E0146"/>
        <s v="E0147"/>
        <s v="E0148"/>
        <s v="E0149"/>
        <s v="E0150"/>
        <s v="E0151"/>
        <s v="E0152"/>
        <s v="E0153"/>
        <s v="E0154"/>
        <s v="E0155"/>
        <s v="E0156"/>
        <s v="E0157"/>
        <s v="E0158"/>
        <s v="E0159"/>
        <s v="E0160"/>
        <s v="E0161"/>
        <s v="E0162"/>
        <s v="E0163"/>
        <s v="E0164"/>
        <s v="E0165"/>
        <s v="E0166"/>
        <s v="E0167"/>
        <s v="E0168"/>
        <s v="E0169"/>
        <s v="E0170"/>
        <s v="E0171"/>
        <s v="E0172"/>
        <s v="E0173"/>
        <s v="E0174"/>
        <s v="E0175"/>
        <s v="E0176"/>
        <s v="E0177"/>
        <s v="E0178"/>
        <s v="E0179"/>
        <s v="E0180"/>
        <s v="E0181"/>
        <s v="E0182"/>
        <s v="E0183"/>
        <s v="E0184"/>
        <s v="E0185"/>
        <s v="E0186"/>
        <s v="E0187"/>
        <s v="E0188"/>
        <s v="E0189"/>
        <s v="E0190"/>
        <s v="E0191"/>
        <s v="E0192"/>
        <s v="E0193"/>
        <s v="E0194"/>
        <s v="E0195"/>
        <s v="E0196"/>
        <s v="E0197"/>
        <s v="E0198"/>
        <s v="E0199"/>
        <s v="E0200"/>
        <s v="E0201"/>
        <s v="E0202"/>
        <s v="E0203"/>
        <s v="E0204"/>
        <s v="E0205"/>
        <s v="E0206"/>
        <s v="E0207"/>
        <s v="E0208"/>
        <s v="E0209"/>
        <s v="E0210"/>
        <s v="E0211"/>
        <s v="E0212"/>
        <s v="E0213"/>
        <s v="E0214"/>
        <s v="E0215"/>
        <s v="E0216"/>
        <s v="E0217"/>
        <s v="E0218"/>
        <s v="E0219"/>
        <s v="E0220"/>
        <s v="E0221"/>
        <s v="E0222"/>
        <s v="E0223"/>
        <s v="E0224"/>
        <s v="E0225"/>
        <s v="E0226"/>
        <s v="E0227"/>
        <s v="E0228"/>
        <s v="E0229"/>
        <s v="E0230"/>
        <s v="E0231"/>
        <s v="E0232"/>
        <s v="E0233"/>
        <s v="E0234"/>
        <s v="E0235"/>
        <s v="E0236"/>
        <s v="E0237"/>
        <s v="E0238"/>
        <s v="E0239"/>
        <s v="E0240"/>
        <s v="E0241"/>
        <s v="E0242"/>
        <s v="E0243"/>
        <s v="E0244"/>
        <s v="E0245"/>
        <s v="E0246"/>
        <s v="E0247"/>
        <s v="E0248"/>
        <s v="E0249"/>
        <s v="E0250"/>
        <s v="E0251"/>
        <s v="E0252"/>
        <s v="E0253"/>
        <s v="E0254"/>
        <s v="E0255"/>
        <s v="E0256"/>
        <s v="E0257"/>
        <s v="E0258"/>
        <s v="E0259"/>
        <s v="E0260"/>
        <s v="E0261"/>
        <s v="E0262"/>
        <s v="E0263"/>
        <s v="E0264"/>
        <s v="E0265"/>
        <s v="E0266"/>
        <s v="E0267"/>
        <s v="E0268"/>
        <s v="E0269"/>
        <s v="E0270"/>
        <s v="E0271"/>
        <s v="E0272"/>
        <s v="E0273"/>
        <s v="E0274"/>
        <s v="E0275"/>
        <s v="E0276"/>
        <s v="E0277"/>
        <s v="E0278"/>
        <s v="E0279"/>
        <s v="E0280"/>
        <s v="E0281"/>
        <s v="E0282"/>
        <s v="E0283"/>
        <s v="E0284"/>
        <s v="E0285"/>
        <s v="E0286"/>
        <s v="E0287"/>
        <s v="E0288"/>
        <s v="E0289"/>
        <s v="E0290"/>
        <s v="E0291"/>
        <s v="E0292"/>
        <s v="E0293"/>
        <s v="E0294"/>
        <s v="E0295"/>
        <s v="E0296"/>
        <s v="E0297"/>
        <s v="E0298"/>
        <s v="E0299"/>
        <s v="E0300"/>
        <s v="E0301"/>
        <s v="E0302"/>
        <s v="E0303"/>
        <s v="E0304"/>
        <s v="E0305"/>
        <s v="E0306"/>
        <s v="E0307"/>
        <s v="E0308"/>
        <s v="E0309"/>
        <s v="E0310"/>
        <s v="E0311"/>
        <s v="E0312"/>
        <s v="E0313"/>
        <s v="E0314"/>
        <s v="E0315"/>
        <s v="E0316"/>
        <s v="E0317"/>
        <s v="E0318"/>
        <s v="E0319"/>
        <s v="E0320"/>
        <s v="E0321"/>
        <s v="E0322"/>
        <s v="E0323"/>
        <s v="E0324"/>
        <s v="E0325"/>
        <s v="E0326"/>
        <s v="E0327"/>
        <s v="E0328"/>
        <s v="E0329"/>
        <s v="E0330"/>
        <s v="E0331"/>
        <s v="E0332"/>
        <s v="E0333"/>
        <s v="E0334"/>
        <s v="E0335"/>
        <s v="E0336"/>
        <s v="E0337"/>
        <s v="E0338"/>
        <s v="E0339"/>
        <s v="E0340"/>
        <s v="E0341"/>
        <s v="E0342"/>
        <s v="E0343"/>
        <s v="E0344"/>
        <s v="E0345"/>
        <s v="E0346"/>
        <s v="E0347"/>
        <s v="E0348"/>
        <s v="E0349"/>
        <s v="E0350"/>
        <s v="E0351"/>
        <s v="E0352"/>
        <s v="E0353"/>
        <s v="E0354"/>
        <s v="E0355"/>
        <s v="E0356"/>
        <s v="E0357"/>
        <s v="E0358"/>
        <s v="E0359"/>
        <s v="E0360"/>
        <s v="E0361"/>
        <s v="E0362"/>
        <s v="E0363"/>
        <s v="E0364"/>
        <s v="E0365"/>
        <s v="E0366"/>
        <s v="E0367"/>
        <s v="E0368"/>
        <s v="E0369"/>
        <s v="E0370"/>
        <s v="E0371"/>
        <s v="E0372"/>
        <s v="E0373"/>
        <s v="E0374"/>
        <s v="E0375"/>
        <s v="E0376"/>
        <s v="E0377"/>
        <s v="E0378"/>
        <s v="E0379"/>
        <s v="E0380"/>
        <s v="E0381"/>
        <s v="E0382"/>
        <s v="E0383"/>
        <s v="E0384"/>
        <s v="E0385"/>
        <s v="E0386"/>
        <s v="E0387"/>
        <s v="E0388"/>
        <s v="E0389"/>
        <s v="E0390"/>
        <s v="E0391"/>
        <s v="E0392"/>
        <s v="E0393"/>
        <s v="E0394"/>
        <s v="E0395"/>
        <s v="E0396"/>
        <s v="E0397"/>
        <s v="E0398"/>
        <s v="E0399"/>
        <s v="E0400"/>
        <s v="E0401"/>
        <s v="E0402"/>
        <s v="E0403"/>
        <s v="E0404"/>
        <s v="E0405"/>
        <s v="E0406"/>
        <s v="E0407"/>
        <s v="E0408"/>
        <s v="E0409"/>
        <s v="E0410"/>
        <s v="E0411"/>
        <s v="E0412"/>
        <s v="E0413"/>
        <s v="E0414"/>
        <s v="E0415"/>
        <s v="E0416"/>
        <s v="E0417"/>
        <s v="E0418"/>
        <s v="E0419"/>
        <s v="E0420"/>
        <s v="E0421"/>
        <s v="E0422"/>
        <s v="E0423"/>
        <s v="E0424"/>
        <s v="E0425"/>
        <s v="E0426"/>
        <s v="E0427"/>
        <s v="E0428"/>
        <s v="E0429"/>
        <s v="E0430"/>
        <s v="E0431"/>
        <s v="E0432"/>
        <s v="E0433"/>
        <s v="E0434"/>
        <s v="E0435"/>
        <s v="E0436"/>
        <s v="E0437"/>
        <s v="E0438"/>
        <s v="E0439"/>
        <s v="E0440"/>
        <s v="E0441"/>
        <s v="E0442"/>
        <s v="E0443"/>
        <s v="E0444"/>
        <s v="E0445"/>
        <s v="E0446"/>
        <s v="E0447"/>
        <s v="E0448"/>
        <s v="E0449"/>
        <s v="E0450"/>
        <s v="E0451"/>
        <s v="E0452"/>
        <s v="E0453"/>
        <s v="E0454"/>
        <s v="E0455"/>
        <s v="E0456"/>
        <s v="E0457"/>
        <s v="E0458"/>
        <s v="E0459"/>
        <s v="E0460"/>
        <s v="E0461"/>
        <s v="E0462"/>
        <s v="E0463"/>
        <s v="E0464"/>
        <s v="E0465"/>
        <s v="E0466"/>
        <s v="E0467"/>
        <s v="E0468"/>
        <s v="E0469"/>
        <s v="E0470"/>
        <s v="E0471"/>
        <s v="E0472"/>
        <s v="E0473"/>
        <s v="E0474"/>
        <s v="E0475"/>
        <s v="E0476"/>
        <s v="E0477"/>
        <s v="E0478"/>
        <s v="E0479"/>
        <s v="E0480"/>
        <s v="E0481"/>
        <s v="E0482"/>
        <s v="E0483"/>
        <s v="E0484"/>
        <s v="E0485"/>
        <s v="E0486"/>
        <s v="E0487"/>
        <s v="E0488"/>
        <s v="E0489"/>
        <s v="E0490"/>
        <s v="E0491"/>
        <s v="E0492"/>
        <s v="E0493"/>
        <s v="E0494"/>
        <s v="E0495"/>
        <s v="E0496"/>
        <s v="E0497"/>
        <s v="E0498"/>
        <s v="E0499"/>
        <s v="E0500"/>
      </sharedItems>
    </cacheField>
    <cacheField name="Employee_Name" numFmtId="0">
      <sharedItems count="300">
        <s v="Sachin"/>
        <s v="Vivaan Sharma"/>
        <s v="Karan Joshi"/>
        <s v="Arjun Verma"/>
        <s v="Priya Verma"/>
        <s v="Kavya Verma"/>
        <s v="Varun Gupta"/>
        <s v="Simran Malhotra"/>
        <s v="Pooja Patel"/>
        <s v="Nisha Yadav"/>
        <s v="Kabir Gupta"/>
        <s v="Karan Singh"/>
        <s v="Aditi Malhotra"/>
        <s v="Pooja Kapoor"/>
        <s v="Arjun Gupta"/>
        <s v="Tanya Malhotra"/>
        <s v="Priya Agarwal"/>
        <s v="Karan Sharma"/>
        <s v="Sneha Mishra"/>
        <s v="Nisha Mishra"/>
        <s v="Yash Mishra"/>
        <s v="Aditya Kapoor"/>
        <s v="Neha Kumar"/>
        <s v="Aditi Joshi"/>
        <s v="Nikhil Joshi"/>
        <s v="Karan Kumar"/>
        <s v="Tanya Verma"/>
        <s v="Nisha Agarwal"/>
        <s v="Shreya Sharma"/>
        <s v="Kabir Kumar"/>
        <s v="Aditya Yadav"/>
        <s v="Ananya Yadav"/>
        <s v="Karan Gupta"/>
        <s v="Aarav Joshi"/>
        <s v="Shreya Verma"/>
        <s v="Simran Agarwal"/>
        <s v="Aman Verma"/>
        <s v="Kavya Patel"/>
        <s v="Isha Mehta"/>
        <s v="Rohan Kapoor"/>
        <s v="Priya Sharma"/>
        <s v="Sahil Agarwal"/>
        <s v="Simran Kapoor"/>
        <s v="Shreya Mehta"/>
        <s v="Rohan Agarwal"/>
        <s v="Sahil Gupta"/>
        <s v="Sneha Gupta"/>
        <s v="Nikhil Yadav"/>
        <s v="Kavya Mehta"/>
        <s v="Nikhil Verma"/>
        <s v="Riya Gupta"/>
        <s v="Ankit Gupta"/>
        <s v="Aditi Agarwal"/>
        <s v="Aditya Bansal"/>
        <s v="Simran Bansal"/>
        <s v="Mera Mehta"/>
        <s v="Yash Singh"/>
        <s v="Meera Mishra"/>
        <s v="Meera Malhotra"/>
        <s v="Aman Patel"/>
        <s v="Kavya Kumar"/>
        <s v="Tanya Agarwal"/>
        <s v="Tanya Bansal"/>
        <s v="Rahul Malhotra"/>
        <s v="Nisha Mehta"/>
        <s v="Rahul Kumar"/>
        <s v="Aman Bansal"/>
        <s v="Sneha Sharma"/>
        <s v="Mera Malhotra"/>
        <s v="Sneha Bansal"/>
        <s v="Varun Kapoor"/>
        <s v="Aditi Yadav"/>
        <s v="Aarav Bansal"/>
        <s v="Nikhil Bansal"/>
        <s v="Sneha Joshi"/>
        <s v="Rohan Joshi"/>
        <s v="Isha Kapoor"/>
        <s v="Mera Mishra"/>
        <s v="Aman Gupta"/>
        <s v="Vikram Kumar"/>
        <s v="Meera Kumar"/>
        <s v="Priya Gupta"/>
        <s v="Ananya Gupta"/>
        <s v="Varun Joshi"/>
        <s v="Aditya Kumar"/>
        <s v="Nisha Joshi"/>
        <s v="Rohan Sharma"/>
        <s v="Kavya Gupta"/>
        <s v="Vivaan Singh"/>
        <s v="Sneha Malhotra"/>
        <s v="Nisha Gupta"/>
        <s v="Pooja Verma"/>
        <s v="Meera Agarwal"/>
        <s v="Pooja Bansal"/>
        <s v="Isha Joshi"/>
        <s v="Aarav Malhotra"/>
        <s v="Neha Kapoor"/>
        <s v="Varun Kumar"/>
        <s v="Rahul Agarwal"/>
        <s v="Tanya Singh"/>
        <s v="Kavya Agarwal"/>
        <s v="Tanya Mishra"/>
        <s v="Arjun Agarwal"/>
        <s v="Vivaan Patel"/>
        <s v="Rohan Singh"/>
        <s v="Aditya Joshi"/>
        <s v="Yash Bansal"/>
        <s v="Isha Kumar"/>
        <s v="Ankit Agarwal"/>
        <s v="Vikram Singh"/>
        <s v="Meera Singh"/>
        <s v="Aditya Singh"/>
        <s v="Aditya Agarwal"/>
        <s v="Isha Verma"/>
        <s v="Vikram Joshi"/>
        <s v="Vivaan Mehta"/>
        <s v="Pooja Kumar"/>
        <s v="Sneha Singh"/>
        <s v="Arjun Malhotra"/>
        <s v="Aarav Singh"/>
        <s v="Neha Yadav"/>
        <s v="Yash Malhotra"/>
        <s v="Aditya Verma"/>
        <s v="Varun Yadav"/>
        <s v="Rahul Mehta"/>
        <s v="Aditya Mehta"/>
        <s v="Sahil Verma"/>
        <s v="Sahil Bansal"/>
        <s v="Nisha Patel"/>
        <s v="Riya Patel"/>
        <s v="Aman Joshi"/>
        <s v="Sahil Mehta"/>
        <s v="Aarav Kumar"/>
        <s v="Arjun Sharma"/>
        <s v="Ananya Mehta"/>
        <s v="Meera Kapoor"/>
        <s v="Neha Verma"/>
        <s v="Neha Mishra"/>
        <s v="Arjun Singh"/>
        <s v="Yash Agarwal"/>
        <s v="Kabir Joshi"/>
        <s v="Yash Sharma"/>
        <s v="Simran Yadav"/>
        <s v="Simran Joshi"/>
        <s v="Aditya Patel"/>
        <s v="Rahul Verma"/>
        <s v="Kabir Yadav"/>
        <s v="Isha Malhotra"/>
        <s v="Yash Yadav"/>
        <s v="Meera Joshi"/>
        <s v="Sahil Kumar"/>
        <s v="Kabir Sharma"/>
        <s v="Nikhil Sharma"/>
        <s v="Vivaan Malhotra"/>
        <s v="Sneha Yadav"/>
        <s v="Vivaan Gupta"/>
        <s v="Neha Mehta"/>
        <s v="Riya Mehta"/>
        <s v="Vivaan Kapoor"/>
        <s v="Aditya Malhotra"/>
        <s v="Simran Singh"/>
        <s v="Vikram Verma"/>
        <s v="Aditi Patel"/>
        <s v="Aarav Patel"/>
        <s v="Kavya Kapoor"/>
        <s v="Vikram Malhotra"/>
        <s v="Neha Malhotra"/>
        <s v="Meera Bansal"/>
        <s v="Ankit Joshi"/>
        <s v="Rahul Yadav"/>
        <s v="Varun Bansal"/>
        <s v="Varun Mishra"/>
        <s v="Ankit Mishra"/>
        <s v="Sahil Sharma"/>
        <s v="Meera Yadav"/>
        <s v="Priya Patel"/>
        <s v="Rohan Mehta"/>
        <s v="Mera Bansal"/>
        <s v="Rohan Mishra"/>
        <s v="Vivaan Yadav"/>
        <s v="Neha Agarwal"/>
        <s v="Pooja Agarwal"/>
        <s v="Rahul Joshi"/>
        <s v="Aarav Mishra"/>
        <s v="Ankit Malhotra"/>
        <s v="Nisha Singh"/>
        <s v="Shreya Singh"/>
        <s v="Kavya Singh"/>
        <s v="Rohan Yadav"/>
        <s v="Rahul Gupta"/>
        <s v="Sahil Yadav"/>
        <s v="Neha Joshi"/>
        <s v="Rohan Patel"/>
        <s v="Aditya Mishra"/>
        <s v="Riya Sharma"/>
        <s v="Nikhil Patel"/>
        <s v="Sahil Singh"/>
        <s v="Karan Kapoor"/>
        <s v="Kabir Mishra"/>
        <s v="Vivaan Mishra"/>
        <s v="Varun Singh"/>
        <s v="Priya Mehta"/>
        <s v="Pooja Yadav"/>
        <s v="Mera Kumar"/>
        <s v="Nisha Kumar"/>
        <s v="Riya Singh"/>
        <s v="Riya Malhotra"/>
        <s v="Neha Sharma"/>
        <s v="Nikhil Singh"/>
        <s v="Pooja Joshi"/>
        <s v="Neha Singh"/>
        <s v="Aman Sharma"/>
        <s v="Rohan Bansal"/>
        <s v="Ankit Singh"/>
        <s v="Varun Agarwal"/>
        <s v="Karan Bansal"/>
        <s v="Pooja Mehta"/>
        <s v="Mera Agarwal"/>
        <s v="Yash Verma"/>
        <s v="Ananya Agarwal"/>
        <s v="Ananya Malhotra"/>
        <s v="Mera Verma"/>
        <s v="Nisha Kapoor"/>
        <s v="Karan Agarwal"/>
        <s v="Ananya Verma"/>
        <s v="Tanya Joshi"/>
        <s v="Arjun Kumar"/>
        <s v="Mera Gupta"/>
        <s v="Kavya Bansal"/>
        <s v="Ankit Sharma"/>
        <s v="Sneha Kapoor"/>
        <s v="Yash Gupta"/>
        <s v="Vikram Agarwal"/>
        <s v="Aditi Sharma"/>
        <s v="Ankit Yadav"/>
        <s v="Nisha Sharma"/>
        <s v="Kabir Kapoor"/>
        <s v="Shreya Malhotra"/>
        <s v="Arjun Bansal"/>
        <s v="Pooja Malhotra"/>
        <s v="Aarav Kapoor"/>
        <s v="Riya Agarwal"/>
        <s v="Sneha Verma"/>
        <s v="Karan Mishra"/>
        <s v="Vikram Mishra"/>
        <s v="Sahil Patel"/>
        <s v="Aarav Yadav"/>
        <s v="Neha Gupta"/>
        <s v="Vivaan Kumar"/>
        <s v="Karan Mehta"/>
        <s v="Rohan Kumar"/>
        <s v="Tanya Gupta"/>
        <s v="Riya Yadav"/>
        <s v="Riya Mishra"/>
        <s v="Rahul Sharma"/>
        <s v="Kabir Agarwal"/>
        <s v="Sneha Kumar"/>
        <s v="Priya Kapoor"/>
        <s v="Nisha Bansal"/>
        <s v="Mera Sharma"/>
        <s v="Vivaan Verma"/>
        <s v="Neha Patel"/>
        <s v="Aman Mishra"/>
        <s v="Karan Malhotra"/>
        <s v="Isha Yadav"/>
        <s v="Aditi Bansal"/>
        <s v="Pooja Gupta"/>
        <s v="Meera Mehta"/>
        <s v="Ankit Verma"/>
        <s v="Vikram Bansal"/>
        <s v="Arjun Mehta"/>
        <s v="Aditi Gupta"/>
        <s v="Varun Patel"/>
        <s v="Yash Kumar"/>
        <s v="Meera Sharma"/>
        <s v="Karan Patel"/>
        <s v="Tanya Kumar"/>
        <s v="Mera Singh"/>
        <s v="Nikhil Mehta"/>
        <s v="Rahul Kapoor"/>
        <s v="Nikhil Agarwal"/>
        <s v="Isha Singh"/>
        <s v="Yash Kapoor"/>
        <s v="Ananya Mishra"/>
        <s v="Simran Sharma"/>
        <s v="Yash Mehta"/>
        <s v="Sahil Kapoor"/>
        <s v="Riya Verma"/>
        <s v="Rahul Patel"/>
        <s v="Varun Mehta"/>
        <s v="Isha Agarwal"/>
        <s v="Mera Joshi"/>
        <s v="Mera Patel"/>
        <s v="Neha Bansal"/>
        <s v="Shreya Mishra"/>
        <s v="Priya Mishra"/>
        <s v="Kavya Malhotra"/>
        <s v="Sneha Patel"/>
        <s v="Aman Agarwal"/>
        <s v="Varun Sharma"/>
      </sharedItems>
    </cacheField>
    <cacheField name="Gender" numFmtId="0">
      <sharedItems count="2">
        <s v="Male"/>
        <s v="Female"/>
      </sharedItems>
    </cacheField>
    <cacheField name="Department" numFmtId="0">
      <sharedItems count="8">
        <s v="Data Analyst"/>
        <s v="IT"/>
        <s v="Marketing"/>
        <s v="Finance"/>
        <s v="Support"/>
        <s v="Operations"/>
        <s v="HR"/>
        <s v="Sales"/>
      </sharedItems>
    </cacheField>
    <cacheField name="Location" numFmtId="0">
      <sharedItems count="5">
        <s v="Delhi"/>
        <s v="Mumbai"/>
        <s v="Hyderabad"/>
        <s v="Pune"/>
        <s v="Bangalore"/>
      </sharedItems>
    </cacheField>
    <cacheField name="Joining_Date" numFmtId="183">
      <sharedItems containsSemiMixedTypes="0" containsString="0" containsNonDate="0" containsDate="1" minDate="2015-01-17T00:00:00" maxDate="2025-12-29T00:00:00" count="477">
        <d v="2023-04-05T00:00:00"/>
        <d v="2021-10-01T00:00:00"/>
        <d v="2015-01-27T00:00:00"/>
        <d v="2018-11-09T00:00:00"/>
        <d v="2021-03-11T00:00:00"/>
        <d v="2018-03-31T00:00:00"/>
        <d v="2016-10-28T00:00:00"/>
        <d v="2016-10-31T00:00:00"/>
        <d v="2017-07-27T00:00:00"/>
        <d v="2022-05-08T00:00:00"/>
        <d v="2021-01-16T00:00:00"/>
        <d v="2015-07-12T00:00:00"/>
        <d v="2019-04-13T00:00:00"/>
        <d v="2023-06-03T00:00:00"/>
        <d v="2025-09-11T00:00:00"/>
        <d v="2021-10-30T00:00:00"/>
        <d v="2021-09-19T00:00:00"/>
        <d v="2015-11-19T00:00:00"/>
        <d v="2020-04-30T00:00:00"/>
        <d v="2022-12-30T00:00:00"/>
        <d v="2015-09-20T00:00:00"/>
        <d v="2025-02-25T00:00:00"/>
        <d v="2021-01-17T00:00:00"/>
        <d v="2016-02-02T00:00:00"/>
        <d v="2022-04-30T00:00:00"/>
        <d v="2019-09-25T00:00:00"/>
        <d v="2021-03-04T00:00:00"/>
        <d v="2020-06-12T00:00:00"/>
        <d v="2019-05-19T00:00:00"/>
        <d v="2021-06-30T00:00:00"/>
        <d v="2024-07-24T00:00:00"/>
        <d v="2019-07-12T00:00:00"/>
        <d v="2022-05-16T00:00:00"/>
        <d v="2018-05-13T00:00:00"/>
        <d v="2016-02-14T00:00:00"/>
        <d v="2016-10-08T00:00:00"/>
        <d v="2024-02-29T00:00:00"/>
        <d v="2016-09-28T00:00:00"/>
        <d v="2017-12-17T00:00:00"/>
        <d v="2018-09-28T00:00:00"/>
        <d v="2021-04-16T00:00:00"/>
        <d v="2016-08-29T00:00:00"/>
        <d v="2019-01-05T00:00:00"/>
        <d v="2024-09-11T00:00:00"/>
        <d v="2018-09-22T00:00:00"/>
        <d v="2015-06-08T00:00:00"/>
        <d v="2017-07-02T00:00:00"/>
        <d v="2022-08-15T00:00:00"/>
        <d v="2017-12-23T00:00:00"/>
        <d v="2025-02-01T00:00:00"/>
        <d v="2021-01-14T00:00:00"/>
        <d v="2021-12-27T00:00:00"/>
        <d v="2018-08-29T00:00:00"/>
        <d v="2018-05-17T00:00:00"/>
        <d v="2021-10-20T00:00:00"/>
        <d v="2018-03-08T00:00:00"/>
        <d v="2018-06-25T00:00:00"/>
        <d v="2024-12-08T00:00:00"/>
        <d v="2015-01-23T00:00:00"/>
        <d v="2020-03-17T00:00:00"/>
        <d v="2021-04-08T00:00:00"/>
        <d v="2024-08-29T00:00:00"/>
        <d v="2020-06-07T00:00:00"/>
        <d v="2016-07-20T00:00:00"/>
        <d v="2021-01-31T00:00:00"/>
        <d v="2025-07-28T00:00:00"/>
        <d v="2021-02-14T00:00:00"/>
        <d v="2016-11-07T00:00:00"/>
        <d v="2015-12-10T00:00:00"/>
        <d v="2024-11-12T00:00:00"/>
        <d v="2021-01-18T00:00:00"/>
        <d v="2015-03-25T00:00:00"/>
        <d v="2020-03-19T00:00:00"/>
        <d v="2021-06-28T00:00:00"/>
        <d v="2024-04-25T00:00:00"/>
        <d v="2019-10-21T00:00:00"/>
        <d v="2019-11-11T00:00:00"/>
        <d v="2021-11-27T00:00:00"/>
        <d v="2024-07-20T00:00:00"/>
        <d v="2018-10-09T00:00:00"/>
        <d v="2018-10-26T00:00:00"/>
        <d v="2020-06-24T00:00:00"/>
        <d v="2016-01-17T00:00:00"/>
        <d v="2023-05-14T00:00:00"/>
        <d v="2017-02-27T00:00:00"/>
        <d v="2021-08-11T00:00:00"/>
        <d v="2018-05-23T00:00:00"/>
        <d v="2024-09-27T00:00:00"/>
        <d v="2017-01-25T00:00:00"/>
        <d v="2015-08-08T00:00:00"/>
        <d v="2021-10-19T00:00:00"/>
        <d v="2019-10-23T00:00:00"/>
        <d v="2022-01-06T00:00:00"/>
        <d v="2020-04-08T00:00:00"/>
        <d v="2022-09-16T00:00:00"/>
        <d v="2025-03-09T00:00:00"/>
        <d v="2024-03-30T00:00:00"/>
        <d v="2020-07-15T00:00:00"/>
        <d v="2015-04-16T00:00:00"/>
        <d v="2023-07-23T00:00:00"/>
        <d v="2022-02-13T00:00:00"/>
        <d v="2022-10-12T00:00:00"/>
        <d v="2018-07-12T00:00:00"/>
        <d v="2017-02-07T00:00:00"/>
        <d v="2021-02-27T00:00:00"/>
        <d v="2016-10-10T00:00:00"/>
        <d v="2020-03-05T00:00:00"/>
        <d v="2025-12-29T00:00:00"/>
        <d v="2024-11-10T00:00:00"/>
        <d v="2018-03-04T00:00:00"/>
        <d v="2018-09-23T00:00:00"/>
        <d v="2023-09-12T00:00:00"/>
        <d v="2023-11-20T00:00:00"/>
        <d v="2020-11-24T00:00:00"/>
        <d v="2020-04-07T00:00:00"/>
        <d v="2018-07-21T00:00:00"/>
        <d v="2022-01-29T00:00:00"/>
        <d v="2019-12-23T00:00:00"/>
        <d v="2019-03-16T00:00:00"/>
        <d v="2021-12-13T00:00:00"/>
        <d v="2022-06-24T00:00:00"/>
        <d v="2018-05-10T00:00:00"/>
        <d v="2024-07-27T00:00:00"/>
        <d v="2019-06-10T00:00:00"/>
        <d v="2025-02-15T00:00:00"/>
        <d v="2023-01-31T00:00:00"/>
        <d v="2023-03-19T00:00:00"/>
        <d v="2019-02-07T00:00:00"/>
        <d v="2020-05-27T00:00:00"/>
        <d v="2022-08-02T00:00:00"/>
        <d v="2016-05-21T00:00:00"/>
        <d v="2017-08-15T00:00:00"/>
        <d v="2024-03-28T00:00:00"/>
        <d v="2016-02-03T00:00:00"/>
        <d v="2022-10-23T00:00:00"/>
        <d v="2025-07-13T00:00:00"/>
        <d v="2019-01-25T00:00:00"/>
        <d v="2025-08-23T00:00:00"/>
        <d v="2015-03-29T00:00:00"/>
        <d v="2017-06-03T00:00:00"/>
        <d v="2018-02-09T00:00:00"/>
        <d v="2019-01-07T00:00:00"/>
        <d v="2019-09-21T00:00:00"/>
        <d v="2025-08-08T00:00:00"/>
        <d v="2020-05-15T00:00:00"/>
        <d v="2016-05-31T00:00:00"/>
        <d v="2021-10-15T00:00:00"/>
        <d v="2024-04-12T00:00:00"/>
        <d v="2025-09-10T00:00:00"/>
        <d v="2024-02-08T00:00:00"/>
        <d v="2025-07-21T00:00:00"/>
        <d v="2022-05-13T00:00:00"/>
        <d v="2018-02-15T00:00:00"/>
        <d v="2017-01-08T00:00:00"/>
        <d v="2016-08-09T00:00:00"/>
        <d v="2020-02-02T00:00:00"/>
        <d v="2015-12-14T00:00:00"/>
        <d v="2019-12-16T00:00:00"/>
        <d v="2021-08-26T00:00:00"/>
        <d v="2016-07-16T00:00:00"/>
        <d v="2016-06-13T00:00:00"/>
        <d v="2015-03-18T00:00:00"/>
        <d v="2019-09-07T00:00:00"/>
        <d v="2024-06-21T00:00:00"/>
        <d v="2018-10-22T00:00:00"/>
        <d v="2018-12-09T00:00:00"/>
        <d v="2016-09-18T00:00:00"/>
        <d v="2022-08-21T00:00:00"/>
        <d v="2018-05-25T00:00:00"/>
        <d v="2015-11-11T00:00:00"/>
        <d v="2021-03-20T00:00:00"/>
        <d v="2020-01-20T00:00:00"/>
        <d v="2017-10-11T00:00:00"/>
        <d v="2022-08-12T00:00:00"/>
        <d v="2018-03-09T00:00:00"/>
        <d v="2018-12-03T00:00:00"/>
        <d v="2016-07-17T00:00:00"/>
        <d v="2021-09-12T00:00:00"/>
        <d v="2016-11-09T00:00:00"/>
        <d v="2020-01-13T00:00:00"/>
        <d v="2019-02-15T00:00:00"/>
        <d v="2017-03-28T00:00:00"/>
        <d v="2016-02-25T00:00:00"/>
        <d v="2019-11-27T00:00:00"/>
        <d v="2019-08-27T00:00:00"/>
        <d v="2024-05-30T00:00:00"/>
        <d v="2022-10-22T00:00:00"/>
        <d v="2016-09-04T00:00:00"/>
        <d v="2015-07-15T00:00:00"/>
        <d v="2020-10-11T00:00:00"/>
        <d v="2019-09-03T00:00:00"/>
        <d v="2021-03-19T00:00:00"/>
        <d v="2023-05-20T00:00:00"/>
        <d v="2015-07-01T00:00:00"/>
        <d v="2020-05-14T00:00:00"/>
        <d v="2024-12-07T00:00:00"/>
        <d v="2017-11-03T00:00:00"/>
        <d v="2019-02-16T00:00:00"/>
        <d v="2022-10-05T00:00:00"/>
        <d v="2024-03-22T00:00:00"/>
        <d v="2020-01-01T00:00:00"/>
        <d v="2019-11-17T00:00:00"/>
        <d v="2023-12-26T00:00:00"/>
        <d v="2019-02-09T00:00:00"/>
        <d v="2019-03-04T00:00:00"/>
        <d v="2015-04-17T00:00:00"/>
        <d v="2022-11-23T00:00:00"/>
        <d v="2016-12-08T00:00:00"/>
        <d v="2018-04-04T00:00:00"/>
        <d v="2017-04-03T00:00:00"/>
        <d v="2024-01-05T00:00:00"/>
        <d v="2019-08-05T00:00:00"/>
        <d v="2018-11-12T00:00:00"/>
        <d v="2015-08-15T00:00:00"/>
        <d v="2018-11-18T00:00:00"/>
        <d v="2022-01-04T00:00:00"/>
        <d v="2016-09-23T00:00:00"/>
        <d v="2022-03-12T00:00:00"/>
        <d v="2020-08-01T00:00:00"/>
        <d v="2019-12-06T00:00:00"/>
        <d v="2018-07-31T00:00:00"/>
        <d v="2017-10-12T00:00:00"/>
        <d v="2024-09-14T00:00:00"/>
        <d v="2020-08-04T00:00:00"/>
        <d v="2021-07-17T00:00:00"/>
        <d v="2016-07-02T00:00:00"/>
        <d v="2017-03-08T00:00:00"/>
        <d v="2025-12-07T00:00:00"/>
        <d v="2020-09-16T00:00:00"/>
        <d v="2025-01-06T00:00:00"/>
        <d v="2016-03-24T00:00:00"/>
        <d v="2025-11-25T00:00:00"/>
        <d v="2024-06-07T00:00:00"/>
        <d v="2015-03-19T00:00:00"/>
        <d v="2024-07-06T00:00:00"/>
        <d v="2019-03-24T00:00:00"/>
        <d v="2025-07-23T00:00:00"/>
        <d v="2023-12-02T00:00:00"/>
        <d v="2024-01-09T00:00:00"/>
        <d v="2017-05-26T00:00:00"/>
        <d v="2021-11-26T00:00:00"/>
        <d v="2023-01-17T00:00:00"/>
        <d v="2022-04-28T00:00:00"/>
        <d v="2022-04-25T00:00:00"/>
        <d v="2025-06-22T00:00:00"/>
        <d v="2016-03-15T00:00:00"/>
        <d v="2017-02-28T00:00:00"/>
        <d v="2018-04-23T00:00:00"/>
        <d v="2024-04-10T00:00:00"/>
        <d v="2017-12-04T00:00:00"/>
        <d v="2017-12-07T00:00:00"/>
        <d v="2024-12-15T00:00:00"/>
        <d v="2020-05-12T00:00:00"/>
        <d v="2023-07-18T00:00:00"/>
        <d v="2025-04-15T00:00:00"/>
        <d v="2022-08-18T00:00:00"/>
        <d v="2016-06-24T00:00:00"/>
        <d v="2023-05-13T00:00:00"/>
        <d v="2015-09-04T00:00:00"/>
        <d v="2022-03-30T00:00:00"/>
        <d v="2015-11-25T00:00:00"/>
        <d v="2016-06-05T00:00:00"/>
        <d v="2023-01-24T00:00:00"/>
        <d v="2023-02-17T00:00:00"/>
        <d v="2017-09-12T00:00:00"/>
        <d v="2021-01-19T00:00:00"/>
        <d v="2025-04-11T00:00:00"/>
        <d v="2020-11-05T00:00:00"/>
        <d v="2025-03-22T00:00:00"/>
        <d v="2024-07-10T00:00:00"/>
        <d v="2016-07-03T00:00:00"/>
        <d v="2019-02-28T00:00:00"/>
        <d v="2017-02-09T00:00:00"/>
        <d v="2025-09-24T00:00:00"/>
        <d v="2019-06-13T00:00:00"/>
        <d v="2018-07-05T00:00:00"/>
        <d v="2021-07-20T00:00:00"/>
        <d v="2022-05-05T00:00:00"/>
        <d v="2023-03-21T00:00:00"/>
        <d v="2024-03-04T00:00:00"/>
        <d v="2022-12-06T00:00:00"/>
        <d v="2019-08-12T00:00:00"/>
        <d v="2022-07-23T00:00:00"/>
        <d v="2017-10-30T00:00:00"/>
        <d v="2017-09-23T00:00:00"/>
        <d v="2015-08-18T00:00:00"/>
        <d v="2021-05-06T00:00:00"/>
        <d v="2018-02-22T00:00:00"/>
        <d v="2021-08-01T00:00:00"/>
        <d v="2024-07-11T00:00:00"/>
        <d v="2022-09-24T00:00:00"/>
        <d v="2021-11-19T00:00:00"/>
        <d v="2020-07-02T00:00:00"/>
        <d v="2019-05-15T00:00:00"/>
        <d v="2017-02-06T00:00:00"/>
        <d v="2021-09-11T00:00:00"/>
        <d v="2025-02-24T00:00:00"/>
        <d v="2018-01-04T00:00:00"/>
        <d v="2017-10-07T00:00:00"/>
        <d v="2019-06-09T00:00:00"/>
        <d v="2025-12-04T00:00:00"/>
        <d v="2025-10-25T00:00:00"/>
        <d v="2024-02-27T00:00:00"/>
        <d v="2017-01-06T00:00:00"/>
        <d v="2024-03-08T00:00:00"/>
        <d v="2017-10-31T00:00:00"/>
        <d v="2025-05-10T00:00:00"/>
        <d v="2015-12-15T00:00:00"/>
        <d v="2023-06-10T00:00:00"/>
        <d v="2023-05-18T00:00:00"/>
        <d v="2020-08-11T00:00:00"/>
        <d v="2015-12-18T00:00:00"/>
        <d v="2020-05-04T00:00:00"/>
        <d v="2016-04-16T00:00:00"/>
        <d v="2016-10-17T00:00:00"/>
        <d v="2022-03-08T00:00:00"/>
        <d v="2017-04-22T00:00:00"/>
        <d v="2019-05-27T00:00:00"/>
        <d v="2022-12-01T00:00:00"/>
        <d v="2022-10-11T00:00:00"/>
        <d v="2020-06-16T00:00:00"/>
        <d v="2020-01-22T00:00:00"/>
        <d v="2025-10-22T00:00:00"/>
        <d v="2021-05-04T00:00:00"/>
        <d v="2016-11-19T00:00:00"/>
        <d v="2019-02-11T00:00:00"/>
        <d v="2019-10-08T00:00:00"/>
        <d v="2019-12-04T00:00:00"/>
        <d v="2024-08-27T00:00:00"/>
        <d v="2021-09-10T00:00:00"/>
        <d v="2025-02-04T00:00:00"/>
        <d v="2016-06-03T00:00:00"/>
        <d v="2024-06-17T00:00:00"/>
        <d v="2023-08-16T00:00:00"/>
        <d v="2021-07-11T00:00:00"/>
        <d v="2023-12-04T00:00:00"/>
        <d v="2018-03-07T00:00:00"/>
        <d v="2022-01-08T00:00:00"/>
        <d v="2025-09-29T00:00:00"/>
        <d v="2018-06-05T00:00:00"/>
        <d v="2017-07-15T00:00:00"/>
        <d v="2024-08-24T00:00:00"/>
        <d v="2024-11-17T00:00:00"/>
        <d v="2015-02-04T00:00:00"/>
        <d v="2017-06-08T00:00:00"/>
        <d v="2025-10-20T00:00:00"/>
        <d v="2018-03-13T00:00:00"/>
        <d v="2019-05-24T00:00:00"/>
        <d v="2021-08-29T00:00:00"/>
        <d v="2021-05-17T00:00:00"/>
        <d v="2015-06-13T00:00:00"/>
        <d v="2019-08-29T00:00:00"/>
        <d v="2017-04-12T00:00:00"/>
        <d v="2020-02-01T00:00:00"/>
        <d v="2015-02-21T00:00:00"/>
        <d v="2018-01-05T00:00:00"/>
        <d v="2017-12-13T00:00:00"/>
        <d v="2017-11-10T00:00:00"/>
        <d v="2024-09-04T00:00:00"/>
        <d v="2023-01-03T00:00:00"/>
        <d v="2024-04-06T00:00:00"/>
        <d v="2025-09-12T00:00:00"/>
        <d v="2015-12-20T00:00:00"/>
        <d v="2025-11-24T00:00:00"/>
        <d v="2023-04-12T00:00:00"/>
        <d v="2016-08-06T00:00:00"/>
        <d v="2021-07-06T00:00:00"/>
        <d v="2025-10-24T00:00:00"/>
        <d v="2018-01-18T00:00:00"/>
        <d v="2016-03-08T00:00:00"/>
        <d v="2024-07-23T00:00:00"/>
        <d v="2024-05-16T00:00:00"/>
        <d v="2016-12-13T00:00:00"/>
        <d v="2016-02-22T00:00:00"/>
        <d v="2022-01-25T00:00:00"/>
        <d v="2017-03-20T00:00:00"/>
        <d v="2025-05-13T00:00:00"/>
        <d v="2018-12-20T00:00:00"/>
        <d v="2017-03-27T00:00:00"/>
        <d v="2023-10-06T00:00:00"/>
        <d v="2017-06-16T00:00:00"/>
        <d v="2025-12-03T00:00:00"/>
        <d v="2017-08-26T00:00:00"/>
        <d v="2025-08-17T00:00:00"/>
        <d v="2015-08-19T00:00:00"/>
        <d v="2017-04-05T00:00:00"/>
        <d v="2016-08-03T00:00:00"/>
        <d v="2021-07-28T00:00:00"/>
        <d v="2016-12-14T00:00:00"/>
        <d v="2018-06-10T00:00:00"/>
        <d v="2021-10-03T00:00:00"/>
        <d v="2018-09-18T00:00:00"/>
        <d v="2018-10-07T00:00:00"/>
        <d v="2016-03-18T00:00:00"/>
        <d v="2017-07-12T00:00:00"/>
        <d v="2016-11-27T00:00:00"/>
        <d v="2017-02-17T00:00:00"/>
        <d v="2019-05-29T00:00:00"/>
        <d v="2021-09-24T00:00:00"/>
        <d v="2020-04-23T00:00:00"/>
        <d v="2024-12-05T00:00:00"/>
        <d v="2024-05-21T00:00:00"/>
        <d v="2025-11-20T00:00:00"/>
        <d v="2021-01-02T00:00:00"/>
        <d v="2015-05-23T00:00:00"/>
        <d v="2016-11-15T00:00:00"/>
        <d v="2017-11-22T00:00:00"/>
        <d v="2024-08-09T00:00:00"/>
        <d v="2021-07-14T00:00:00"/>
        <d v="2024-11-04T00:00:00"/>
        <d v="2021-10-29T00:00:00"/>
        <d v="2022-09-06T00:00:00"/>
        <d v="2024-04-05T00:00:00"/>
        <d v="2018-06-28T00:00:00"/>
        <d v="2015-08-25T00:00:00"/>
        <d v="2024-03-27T00:00:00"/>
        <d v="2025-10-09T00:00:00"/>
        <d v="2024-04-26T00:00:00"/>
        <d v="2018-01-07T00:00:00"/>
        <d v="2017-06-12T00:00:00"/>
        <d v="2025-11-02T00:00:00"/>
        <d v="2018-08-24T00:00:00"/>
        <d v="2015-08-21T00:00:00"/>
        <d v="2023-04-06T00:00:00"/>
        <d v="2022-02-27T00:00:00"/>
        <d v="2016-02-04T00:00:00"/>
        <d v="2025-08-14T00:00:00"/>
        <d v="2021-07-26T00:00:00"/>
        <d v="2025-08-03T00:00:00"/>
        <d v="2016-09-09T00:00:00"/>
        <d v="2020-01-26T00:00:00"/>
        <d v="2023-09-29T00:00:00"/>
        <d v="2023-03-12T00:00:00"/>
        <d v="2015-01-17T00:00:00"/>
        <d v="2019-11-12T00:00:00"/>
        <d v="2023-02-26T00:00:00"/>
        <d v="2022-04-18T00:00:00"/>
        <d v="2015-03-22T00:00:00"/>
        <d v="2022-11-14T00:00:00"/>
        <d v="2021-10-16T00:00:00"/>
        <d v="2023-10-20T00:00:00"/>
        <d v="2021-02-23T00:00:00"/>
        <d v="2025-03-03T00:00:00"/>
        <d v="2025-02-22T00:00:00"/>
        <d v="2016-12-16T00:00:00"/>
        <d v="2015-07-07T00:00:00"/>
        <d v="2018-01-03T00:00:00"/>
        <d v="2019-04-29T00:00:00"/>
        <d v="2023-02-23T00:00:00"/>
        <d v="2019-04-05T00:00:00"/>
        <d v="2015-07-08T00:00:00"/>
        <d v="2022-11-09T00:00:00"/>
        <d v="2016-08-31T00:00:00"/>
        <d v="2016-11-08T00:00:00"/>
        <d v="2017-07-01T00:00:00"/>
        <d v="2020-08-03T00:00:00"/>
        <d v="2015-05-27T00:00:00"/>
        <d v="2020-02-12T00:00:00"/>
        <d v="2023-08-10T00:00:00"/>
        <d v="2018-10-30T00:00:00"/>
        <d v="2025-01-21T00:00:00"/>
        <d v="2025-06-07T00:00:00"/>
        <d v="2025-05-23T00:00:00"/>
        <d v="2020-09-13T00:00:00"/>
        <d v="2018-08-11T00:00:00"/>
        <d v="2025-10-21T00:00:00"/>
        <d v="2024-06-15T00:00:00"/>
        <d v="2017-04-02T00:00:00"/>
        <d v="2016-08-18T00:00:00"/>
        <d v="2022-08-31T00:00:00"/>
        <d v="2016-02-24T00:00:00"/>
        <d v="2023-10-18T00:00:00"/>
        <d v="2015-02-23T00:00:00"/>
        <d v="2022-04-06T00:00:00"/>
        <d v="2017-02-04T00:00:00"/>
        <d v="2016-06-16T00:00:00"/>
        <d v="2023-09-04T00:00:00"/>
      </sharedItems>
    </cacheField>
    <cacheField name="Joining_year" numFmtId="0">
      <sharedItems containsSemiMixedTypes="0" containsString="0" containsNumber="1" containsInteger="1" minValue="0" maxValue="2025" count="11">
        <n v="2023"/>
        <n v="2021"/>
        <n v="2015"/>
        <n v="2018"/>
        <n v="2016"/>
        <n v="2017"/>
        <n v="2022"/>
        <n v="2019"/>
        <n v="2025"/>
        <n v="2020"/>
        <n v="2024"/>
      </sharedItems>
    </cacheField>
    <cacheField name="Experience_Years" numFmtId="0">
      <sharedItems containsSemiMixedTypes="0" containsString="0" containsNumber="1" minValue="0" maxValue="11.6" count="110">
        <n v="7.4"/>
        <n v="4.9"/>
        <n v="11.6"/>
        <n v="7.8"/>
        <n v="5.5"/>
        <n v="8.4"/>
        <n v="9.8"/>
        <n v="9.1"/>
        <n v="4.3"/>
        <n v="5.6"/>
        <n v="11.1"/>
        <n v="3.2"/>
        <n v="1"/>
        <n v="4.8"/>
        <n v="10.8"/>
        <n v="6.3"/>
        <n v="3.7"/>
        <n v="10.9"/>
        <n v="1.5"/>
        <n v="10.6"/>
        <n v="6.9"/>
        <n v="6.2"/>
        <n v="7.3"/>
        <n v="5.2"/>
        <n v="2.1"/>
        <n v="7.1"/>
        <n v="8.3"/>
        <n v="10.5"/>
        <n v="9.9"/>
        <n v="2.5"/>
        <n v="8.7"/>
        <n v="7.9"/>
        <n v="5.4"/>
        <n v="10"/>
        <n v="7.6"/>
        <n v="2"/>
        <n v="11.2"/>
        <n v="4"/>
        <n v="1.6"/>
        <n v="4.7"/>
        <n v="8"/>
        <n v="8.5"/>
        <n v="8.2"/>
        <n v="1.7"/>
        <n v="6.4"/>
        <n v="10.1"/>
        <n v="1.1"/>
        <n v="10.7"/>
        <n v="1.8"/>
        <n v="11.4"/>
        <n v="2.3"/>
        <n v="6.8"/>
        <n v="3.3"/>
        <n v="9.5"/>
        <n v="5"/>
        <n v="1.9"/>
        <n v="9.6"/>
        <n v="11"/>
        <n v="4.6"/>
        <n v="3.9"/>
        <n v="2.4"/>
        <n v="6.1"/>
        <n v="3.1"/>
        <n v="4.5"/>
        <n v="8.1"/>
        <n v="6.5"/>
        <n v="0.7"/>
        <n v="3"/>
        <n v="2.8"/>
        <n v="5.7"/>
        <n v="6.7"/>
        <n v="4.2"/>
        <n v="7.2"/>
        <n v="3.6"/>
        <n v="3.4"/>
        <n v="7.5"/>
        <n v="4.1"/>
        <n v="10.3"/>
        <n v="9"/>
        <n v="3.8"/>
        <n v="9.2"/>
        <n v="10.2"/>
        <n v="6.6"/>
        <n v="7"/>
        <n v="2.2"/>
        <n v="7.7"/>
        <n v="8.9"/>
        <n v="9.4"/>
        <n v="5.9"/>
        <n v="8.8"/>
        <n v="2.7"/>
        <n v="9.7"/>
        <n v="2.6"/>
        <n v="5.1"/>
        <n v="10.4"/>
        <n v="1.2"/>
        <n v="1.4"/>
        <n v="4.4"/>
        <n v="3.5"/>
        <n v="5.8"/>
        <n v="0.9"/>
        <n v="5.3"/>
        <n v="8.6"/>
        <n v="0.8"/>
        <n v="1.3"/>
        <n v="6"/>
        <n v="9.3"/>
        <n v="11.5"/>
        <n v="2.9"/>
        <n v="11.3"/>
      </sharedItems>
    </cacheField>
    <cacheField name="Salary" numFmtId="184">
      <sharedItems containsSemiMixedTypes="0" containsString="0" containsNumber="1" containsInteger="1" minValue="0" maxValue="150000" count="99">
        <n v="150000"/>
        <n v="53000"/>
        <n v="60000"/>
        <n v="78000"/>
        <n v="50000"/>
        <n v="92000"/>
        <n v="109000"/>
        <n v="90000"/>
        <n v="69000"/>
        <n v="83000"/>
        <n v="54000"/>
        <n v="104000"/>
        <n v="84000"/>
        <n v="52000"/>
        <n v="45000"/>
        <n v="73000"/>
        <n v="77000"/>
        <n v="88000"/>
        <n v="42000"/>
        <n v="48000"/>
        <n v="80000"/>
        <n v="79000"/>
        <n v="57000"/>
        <n v="68000"/>
        <n v="87000"/>
        <n v="107000"/>
        <n v="65000"/>
        <n v="124000"/>
        <n v="103000"/>
        <n v="47000"/>
        <n v="66000"/>
        <n v="108000"/>
        <n v="55000"/>
        <n v="114000"/>
        <n v="46000"/>
        <n v="70000"/>
        <n v="102000"/>
        <n v="98000"/>
        <n v="39000"/>
        <n v="113000"/>
        <n v="127000"/>
        <n v="91000"/>
        <n v="133000"/>
        <n v="97000"/>
        <n v="41000"/>
        <n v="76000"/>
        <n v="105000"/>
        <n v="49000"/>
        <n v="85000"/>
        <n v="94000"/>
        <n v="93000"/>
        <n v="56000"/>
        <n v="71000"/>
        <n v="120000"/>
        <n v="130000"/>
        <n v="43000"/>
        <n v="121000"/>
        <n v="110000"/>
        <n v="40000"/>
        <n v="100000"/>
        <n v="51000"/>
        <n v="126000"/>
        <n v="59000"/>
        <n v="82000"/>
        <n v="67000"/>
        <n v="74000"/>
        <n v="86000"/>
        <n v="112000"/>
        <n v="72000"/>
        <n v="106000"/>
        <n v="115000"/>
        <n v="64000"/>
        <n v="125000"/>
        <n v="61000"/>
        <n v="62000"/>
        <n v="44000"/>
        <n v="128000"/>
        <n v="95000"/>
        <n v="99000"/>
        <n v="101000"/>
        <n v="117000"/>
        <n v="38000"/>
        <n v="132000"/>
        <n v="81000"/>
        <n v="96000"/>
        <n v="118000"/>
        <n v="37000"/>
        <n v="34000"/>
        <n v="58000"/>
        <n v="123000"/>
        <n v="63000"/>
        <n v="89000"/>
        <n v="122000"/>
        <n v="75000"/>
        <n v="134000"/>
        <n v="116000"/>
        <n v="129000"/>
        <n v="36000"/>
        <n v="131000"/>
      </sharedItems>
    </cacheField>
    <cacheField name="Performance_Score" numFmtId="182">
      <sharedItems containsSemiMixedTypes="0" containsString="0" containsNumber="1" minValue="0" maxValue="12" count="51">
        <n v="12"/>
        <n v="5.4"/>
        <n v="7.2"/>
        <n v="6.5"/>
        <n v="8.2"/>
        <n v="6.2"/>
        <n v="8.8"/>
        <n v="8.4"/>
        <n v="7.7"/>
        <n v="7.5"/>
        <n v="6.3"/>
        <n v="5"/>
        <n v="7"/>
        <n v="9.3"/>
        <n v="8.7"/>
        <n v="8.9"/>
        <n v="7.1"/>
        <n v="5.3"/>
        <n v="8.1"/>
        <n v="10"/>
        <n v="9.2"/>
        <n v="6.6"/>
        <n v="9"/>
        <n v="9.8"/>
        <n v="5.1"/>
        <n v="9.5"/>
        <n v="6.8"/>
        <n v="6"/>
        <n v="6.9"/>
        <n v="5.7"/>
        <n v="8.6"/>
        <n v="5.6"/>
        <n v="6.7"/>
        <n v="7.6"/>
        <n v="7.9"/>
        <n v="8.3"/>
        <n v="8.5"/>
        <n v="6.1"/>
        <n v="5.9"/>
        <n v="7.8"/>
        <n v="7.4"/>
        <n v="9.7"/>
        <n v="8"/>
        <n v="9.1"/>
        <n v="7.3"/>
        <n v="6.4"/>
        <n v="9.6"/>
        <n v="5.5"/>
        <n v="9.4"/>
        <n v="5.8"/>
        <n v="5.2"/>
      </sharedItems>
    </cacheField>
    <cacheField name="Employment_Status" numFmtId="0">
      <sharedItems count="2">
        <s v="Active"/>
        <s v="Inactive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">
  <r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  <x v="0"/>
  </r>
  <r>
    <x v="2"/>
    <x v="2"/>
    <x v="1"/>
    <x v="2"/>
    <x v="2"/>
    <x v="2"/>
    <x v="2"/>
    <x v="2"/>
    <x v="2"/>
    <x v="2"/>
    <x v="0"/>
  </r>
  <r>
    <x v="3"/>
    <x v="3"/>
    <x v="1"/>
    <x v="3"/>
    <x v="1"/>
    <x v="3"/>
    <x v="3"/>
    <x v="3"/>
    <x v="3"/>
    <x v="3"/>
    <x v="0"/>
  </r>
  <r>
    <x v="4"/>
    <x v="4"/>
    <x v="1"/>
    <x v="4"/>
    <x v="1"/>
    <x v="4"/>
    <x v="1"/>
    <x v="4"/>
    <x v="4"/>
    <x v="4"/>
    <x v="0"/>
  </r>
  <r>
    <x v="5"/>
    <x v="5"/>
    <x v="0"/>
    <x v="1"/>
    <x v="1"/>
    <x v="5"/>
    <x v="3"/>
    <x v="5"/>
    <x v="2"/>
    <x v="5"/>
    <x v="0"/>
  </r>
  <r>
    <x v="6"/>
    <x v="6"/>
    <x v="0"/>
    <x v="3"/>
    <x v="2"/>
    <x v="6"/>
    <x v="4"/>
    <x v="6"/>
    <x v="5"/>
    <x v="3"/>
    <x v="0"/>
  </r>
  <r>
    <x v="7"/>
    <x v="7"/>
    <x v="0"/>
    <x v="1"/>
    <x v="2"/>
    <x v="7"/>
    <x v="4"/>
    <x v="6"/>
    <x v="6"/>
    <x v="6"/>
    <x v="0"/>
  </r>
  <r>
    <x v="8"/>
    <x v="8"/>
    <x v="0"/>
    <x v="5"/>
    <x v="2"/>
    <x v="8"/>
    <x v="5"/>
    <x v="7"/>
    <x v="7"/>
    <x v="7"/>
    <x v="0"/>
  </r>
  <r>
    <x v="9"/>
    <x v="9"/>
    <x v="0"/>
    <x v="5"/>
    <x v="1"/>
    <x v="9"/>
    <x v="6"/>
    <x v="8"/>
    <x v="8"/>
    <x v="8"/>
    <x v="0"/>
  </r>
  <r>
    <x v="10"/>
    <x v="10"/>
    <x v="1"/>
    <x v="1"/>
    <x v="2"/>
    <x v="10"/>
    <x v="1"/>
    <x v="9"/>
    <x v="9"/>
    <x v="9"/>
    <x v="0"/>
  </r>
  <r>
    <x v="11"/>
    <x v="11"/>
    <x v="1"/>
    <x v="2"/>
    <x v="0"/>
    <x v="11"/>
    <x v="2"/>
    <x v="10"/>
    <x v="10"/>
    <x v="10"/>
    <x v="0"/>
  </r>
  <r>
    <x v="12"/>
    <x v="12"/>
    <x v="0"/>
    <x v="3"/>
    <x v="0"/>
    <x v="12"/>
    <x v="7"/>
    <x v="0"/>
    <x v="11"/>
    <x v="11"/>
    <x v="0"/>
  </r>
  <r>
    <x v="13"/>
    <x v="13"/>
    <x v="0"/>
    <x v="1"/>
    <x v="3"/>
    <x v="13"/>
    <x v="0"/>
    <x v="11"/>
    <x v="12"/>
    <x v="12"/>
    <x v="0"/>
  </r>
  <r>
    <x v="14"/>
    <x v="14"/>
    <x v="1"/>
    <x v="3"/>
    <x v="4"/>
    <x v="14"/>
    <x v="8"/>
    <x v="12"/>
    <x v="3"/>
    <x v="13"/>
    <x v="0"/>
  </r>
  <r>
    <x v="15"/>
    <x v="15"/>
    <x v="0"/>
    <x v="6"/>
    <x v="4"/>
    <x v="15"/>
    <x v="1"/>
    <x v="13"/>
    <x v="13"/>
    <x v="2"/>
    <x v="0"/>
  </r>
  <r>
    <x v="16"/>
    <x v="16"/>
    <x v="0"/>
    <x v="4"/>
    <x v="3"/>
    <x v="16"/>
    <x v="1"/>
    <x v="1"/>
    <x v="13"/>
    <x v="12"/>
    <x v="0"/>
  </r>
  <r>
    <x v="17"/>
    <x v="17"/>
    <x v="1"/>
    <x v="6"/>
    <x v="4"/>
    <x v="17"/>
    <x v="2"/>
    <x v="14"/>
    <x v="14"/>
    <x v="9"/>
    <x v="0"/>
  </r>
  <r>
    <x v="18"/>
    <x v="18"/>
    <x v="0"/>
    <x v="5"/>
    <x v="0"/>
    <x v="18"/>
    <x v="9"/>
    <x v="15"/>
    <x v="15"/>
    <x v="4"/>
    <x v="0"/>
  </r>
  <r>
    <x v="19"/>
    <x v="19"/>
    <x v="0"/>
    <x v="7"/>
    <x v="2"/>
    <x v="19"/>
    <x v="6"/>
    <x v="16"/>
    <x v="16"/>
    <x v="14"/>
    <x v="0"/>
  </r>
  <r>
    <x v="20"/>
    <x v="20"/>
    <x v="1"/>
    <x v="3"/>
    <x v="1"/>
    <x v="20"/>
    <x v="2"/>
    <x v="17"/>
    <x v="17"/>
    <x v="15"/>
    <x v="0"/>
  </r>
  <r>
    <x v="21"/>
    <x v="21"/>
    <x v="0"/>
    <x v="7"/>
    <x v="1"/>
    <x v="21"/>
    <x v="8"/>
    <x v="18"/>
    <x v="18"/>
    <x v="8"/>
    <x v="0"/>
  </r>
  <r>
    <x v="22"/>
    <x v="22"/>
    <x v="0"/>
    <x v="6"/>
    <x v="4"/>
    <x v="22"/>
    <x v="1"/>
    <x v="9"/>
    <x v="19"/>
    <x v="16"/>
    <x v="0"/>
  </r>
  <r>
    <x v="23"/>
    <x v="23"/>
    <x v="0"/>
    <x v="5"/>
    <x v="0"/>
    <x v="23"/>
    <x v="4"/>
    <x v="19"/>
    <x v="20"/>
    <x v="17"/>
    <x v="0"/>
  </r>
  <r>
    <x v="24"/>
    <x v="24"/>
    <x v="1"/>
    <x v="5"/>
    <x v="0"/>
    <x v="24"/>
    <x v="6"/>
    <x v="8"/>
    <x v="21"/>
    <x v="7"/>
    <x v="0"/>
  </r>
  <r>
    <x v="25"/>
    <x v="25"/>
    <x v="0"/>
    <x v="1"/>
    <x v="4"/>
    <x v="25"/>
    <x v="7"/>
    <x v="20"/>
    <x v="15"/>
    <x v="18"/>
    <x v="0"/>
  </r>
  <r>
    <x v="26"/>
    <x v="26"/>
    <x v="0"/>
    <x v="3"/>
    <x v="3"/>
    <x v="26"/>
    <x v="1"/>
    <x v="4"/>
    <x v="22"/>
    <x v="19"/>
    <x v="0"/>
  </r>
  <r>
    <x v="27"/>
    <x v="27"/>
    <x v="0"/>
    <x v="5"/>
    <x v="0"/>
    <x v="27"/>
    <x v="9"/>
    <x v="21"/>
    <x v="23"/>
    <x v="6"/>
    <x v="0"/>
  </r>
  <r>
    <x v="28"/>
    <x v="28"/>
    <x v="1"/>
    <x v="1"/>
    <x v="0"/>
    <x v="28"/>
    <x v="7"/>
    <x v="22"/>
    <x v="9"/>
    <x v="20"/>
    <x v="0"/>
  </r>
  <r>
    <x v="29"/>
    <x v="29"/>
    <x v="1"/>
    <x v="6"/>
    <x v="3"/>
    <x v="29"/>
    <x v="1"/>
    <x v="23"/>
    <x v="24"/>
    <x v="21"/>
    <x v="0"/>
  </r>
  <r>
    <x v="30"/>
    <x v="1"/>
    <x v="1"/>
    <x v="2"/>
    <x v="4"/>
    <x v="30"/>
    <x v="10"/>
    <x v="24"/>
    <x v="25"/>
    <x v="22"/>
    <x v="0"/>
  </r>
  <r>
    <x v="31"/>
    <x v="30"/>
    <x v="0"/>
    <x v="1"/>
    <x v="3"/>
    <x v="31"/>
    <x v="7"/>
    <x v="25"/>
    <x v="26"/>
    <x v="23"/>
    <x v="1"/>
  </r>
  <r>
    <x v="32"/>
    <x v="31"/>
    <x v="0"/>
    <x v="1"/>
    <x v="0"/>
    <x v="32"/>
    <x v="6"/>
    <x v="8"/>
    <x v="27"/>
    <x v="21"/>
    <x v="0"/>
  </r>
  <r>
    <x v="33"/>
    <x v="32"/>
    <x v="1"/>
    <x v="3"/>
    <x v="2"/>
    <x v="33"/>
    <x v="3"/>
    <x v="26"/>
    <x v="28"/>
    <x v="16"/>
    <x v="0"/>
  </r>
  <r>
    <x v="34"/>
    <x v="33"/>
    <x v="0"/>
    <x v="7"/>
    <x v="4"/>
    <x v="34"/>
    <x v="4"/>
    <x v="27"/>
    <x v="29"/>
    <x v="5"/>
    <x v="0"/>
  </r>
  <r>
    <x v="35"/>
    <x v="34"/>
    <x v="1"/>
    <x v="5"/>
    <x v="1"/>
    <x v="35"/>
    <x v="4"/>
    <x v="28"/>
    <x v="30"/>
    <x v="2"/>
    <x v="0"/>
  </r>
  <r>
    <x v="36"/>
    <x v="35"/>
    <x v="1"/>
    <x v="7"/>
    <x v="0"/>
    <x v="36"/>
    <x v="10"/>
    <x v="29"/>
    <x v="31"/>
    <x v="12"/>
    <x v="1"/>
  </r>
  <r>
    <x v="37"/>
    <x v="36"/>
    <x v="0"/>
    <x v="5"/>
    <x v="2"/>
    <x v="37"/>
    <x v="4"/>
    <x v="28"/>
    <x v="32"/>
    <x v="22"/>
    <x v="0"/>
  </r>
  <r>
    <x v="38"/>
    <x v="37"/>
    <x v="0"/>
    <x v="1"/>
    <x v="4"/>
    <x v="38"/>
    <x v="5"/>
    <x v="30"/>
    <x v="33"/>
    <x v="24"/>
    <x v="0"/>
  </r>
  <r>
    <x v="39"/>
    <x v="38"/>
    <x v="0"/>
    <x v="5"/>
    <x v="0"/>
    <x v="39"/>
    <x v="3"/>
    <x v="31"/>
    <x v="24"/>
    <x v="8"/>
    <x v="0"/>
  </r>
  <r>
    <x v="40"/>
    <x v="39"/>
    <x v="1"/>
    <x v="3"/>
    <x v="2"/>
    <x v="40"/>
    <x v="1"/>
    <x v="32"/>
    <x v="34"/>
    <x v="25"/>
    <x v="0"/>
  </r>
  <r>
    <x v="41"/>
    <x v="40"/>
    <x v="0"/>
    <x v="5"/>
    <x v="4"/>
    <x v="41"/>
    <x v="4"/>
    <x v="33"/>
    <x v="26"/>
    <x v="20"/>
    <x v="0"/>
  </r>
  <r>
    <x v="42"/>
    <x v="41"/>
    <x v="1"/>
    <x v="4"/>
    <x v="0"/>
    <x v="42"/>
    <x v="7"/>
    <x v="34"/>
    <x v="14"/>
    <x v="26"/>
    <x v="0"/>
  </r>
  <r>
    <x v="43"/>
    <x v="42"/>
    <x v="1"/>
    <x v="1"/>
    <x v="3"/>
    <x v="43"/>
    <x v="10"/>
    <x v="35"/>
    <x v="35"/>
    <x v="27"/>
    <x v="1"/>
  </r>
  <r>
    <x v="44"/>
    <x v="43"/>
    <x v="0"/>
    <x v="1"/>
    <x v="2"/>
    <x v="44"/>
    <x v="3"/>
    <x v="31"/>
    <x v="36"/>
    <x v="4"/>
    <x v="0"/>
  </r>
  <r>
    <x v="45"/>
    <x v="44"/>
    <x v="1"/>
    <x v="7"/>
    <x v="1"/>
    <x v="45"/>
    <x v="2"/>
    <x v="36"/>
    <x v="37"/>
    <x v="1"/>
    <x v="0"/>
  </r>
  <r>
    <x v="46"/>
    <x v="45"/>
    <x v="1"/>
    <x v="5"/>
    <x v="3"/>
    <x v="46"/>
    <x v="5"/>
    <x v="7"/>
    <x v="38"/>
    <x v="28"/>
    <x v="0"/>
  </r>
  <r>
    <x v="47"/>
    <x v="46"/>
    <x v="0"/>
    <x v="3"/>
    <x v="4"/>
    <x v="47"/>
    <x v="6"/>
    <x v="37"/>
    <x v="39"/>
    <x v="21"/>
    <x v="0"/>
  </r>
  <r>
    <x v="48"/>
    <x v="14"/>
    <x v="0"/>
    <x v="1"/>
    <x v="3"/>
    <x v="48"/>
    <x v="5"/>
    <x v="30"/>
    <x v="10"/>
    <x v="7"/>
    <x v="0"/>
  </r>
  <r>
    <x v="49"/>
    <x v="47"/>
    <x v="1"/>
    <x v="4"/>
    <x v="0"/>
    <x v="49"/>
    <x v="8"/>
    <x v="38"/>
    <x v="23"/>
    <x v="4"/>
    <x v="0"/>
  </r>
  <r>
    <x v="50"/>
    <x v="48"/>
    <x v="0"/>
    <x v="1"/>
    <x v="3"/>
    <x v="50"/>
    <x v="1"/>
    <x v="9"/>
    <x v="40"/>
    <x v="2"/>
    <x v="0"/>
  </r>
  <r>
    <x v="51"/>
    <x v="49"/>
    <x v="1"/>
    <x v="4"/>
    <x v="3"/>
    <x v="51"/>
    <x v="1"/>
    <x v="39"/>
    <x v="13"/>
    <x v="29"/>
    <x v="0"/>
  </r>
  <r>
    <x v="52"/>
    <x v="50"/>
    <x v="0"/>
    <x v="2"/>
    <x v="4"/>
    <x v="52"/>
    <x v="3"/>
    <x v="40"/>
    <x v="41"/>
    <x v="12"/>
    <x v="0"/>
  </r>
  <r>
    <x v="53"/>
    <x v="13"/>
    <x v="1"/>
    <x v="4"/>
    <x v="4"/>
    <x v="53"/>
    <x v="3"/>
    <x v="26"/>
    <x v="22"/>
    <x v="5"/>
    <x v="0"/>
  </r>
  <r>
    <x v="54"/>
    <x v="51"/>
    <x v="0"/>
    <x v="1"/>
    <x v="2"/>
    <x v="54"/>
    <x v="1"/>
    <x v="13"/>
    <x v="42"/>
    <x v="12"/>
    <x v="0"/>
  </r>
  <r>
    <x v="55"/>
    <x v="52"/>
    <x v="1"/>
    <x v="7"/>
    <x v="4"/>
    <x v="55"/>
    <x v="3"/>
    <x v="41"/>
    <x v="28"/>
    <x v="30"/>
    <x v="0"/>
  </r>
  <r>
    <x v="56"/>
    <x v="53"/>
    <x v="1"/>
    <x v="4"/>
    <x v="1"/>
    <x v="56"/>
    <x v="3"/>
    <x v="42"/>
    <x v="34"/>
    <x v="8"/>
    <x v="0"/>
  </r>
  <r>
    <x v="57"/>
    <x v="54"/>
    <x v="1"/>
    <x v="5"/>
    <x v="4"/>
    <x v="57"/>
    <x v="10"/>
    <x v="43"/>
    <x v="3"/>
    <x v="28"/>
    <x v="0"/>
  </r>
  <r>
    <x v="58"/>
    <x v="55"/>
    <x v="1"/>
    <x v="6"/>
    <x v="4"/>
    <x v="58"/>
    <x v="2"/>
    <x v="2"/>
    <x v="43"/>
    <x v="9"/>
    <x v="0"/>
  </r>
  <r>
    <x v="59"/>
    <x v="11"/>
    <x v="1"/>
    <x v="5"/>
    <x v="2"/>
    <x v="59"/>
    <x v="9"/>
    <x v="44"/>
    <x v="44"/>
    <x v="31"/>
    <x v="0"/>
  </r>
  <r>
    <x v="60"/>
    <x v="56"/>
    <x v="0"/>
    <x v="5"/>
    <x v="4"/>
    <x v="60"/>
    <x v="1"/>
    <x v="32"/>
    <x v="45"/>
    <x v="32"/>
    <x v="0"/>
  </r>
  <r>
    <x v="61"/>
    <x v="57"/>
    <x v="1"/>
    <x v="3"/>
    <x v="0"/>
    <x v="61"/>
    <x v="10"/>
    <x v="35"/>
    <x v="46"/>
    <x v="20"/>
    <x v="0"/>
  </r>
  <r>
    <x v="62"/>
    <x v="58"/>
    <x v="0"/>
    <x v="6"/>
    <x v="2"/>
    <x v="62"/>
    <x v="9"/>
    <x v="21"/>
    <x v="20"/>
    <x v="33"/>
    <x v="0"/>
  </r>
  <r>
    <x v="63"/>
    <x v="59"/>
    <x v="0"/>
    <x v="6"/>
    <x v="4"/>
    <x v="63"/>
    <x v="4"/>
    <x v="45"/>
    <x v="47"/>
    <x v="14"/>
    <x v="0"/>
  </r>
  <r>
    <x v="64"/>
    <x v="60"/>
    <x v="0"/>
    <x v="1"/>
    <x v="1"/>
    <x v="64"/>
    <x v="1"/>
    <x v="9"/>
    <x v="6"/>
    <x v="28"/>
    <x v="0"/>
  </r>
  <r>
    <x v="65"/>
    <x v="61"/>
    <x v="0"/>
    <x v="2"/>
    <x v="4"/>
    <x v="65"/>
    <x v="8"/>
    <x v="46"/>
    <x v="48"/>
    <x v="34"/>
    <x v="0"/>
  </r>
  <r>
    <x v="66"/>
    <x v="62"/>
    <x v="1"/>
    <x v="3"/>
    <x v="2"/>
    <x v="66"/>
    <x v="1"/>
    <x v="4"/>
    <x v="15"/>
    <x v="21"/>
    <x v="0"/>
  </r>
  <r>
    <x v="67"/>
    <x v="63"/>
    <x v="1"/>
    <x v="7"/>
    <x v="1"/>
    <x v="67"/>
    <x v="4"/>
    <x v="6"/>
    <x v="43"/>
    <x v="33"/>
    <x v="1"/>
  </r>
  <r>
    <x v="68"/>
    <x v="64"/>
    <x v="0"/>
    <x v="2"/>
    <x v="4"/>
    <x v="68"/>
    <x v="2"/>
    <x v="47"/>
    <x v="49"/>
    <x v="35"/>
    <x v="0"/>
  </r>
  <r>
    <x v="69"/>
    <x v="65"/>
    <x v="1"/>
    <x v="3"/>
    <x v="1"/>
    <x v="69"/>
    <x v="10"/>
    <x v="48"/>
    <x v="50"/>
    <x v="7"/>
    <x v="0"/>
  </r>
  <r>
    <x v="70"/>
    <x v="66"/>
    <x v="1"/>
    <x v="1"/>
    <x v="0"/>
    <x v="70"/>
    <x v="1"/>
    <x v="9"/>
    <x v="51"/>
    <x v="36"/>
    <x v="0"/>
  </r>
  <r>
    <x v="71"/>
    <x v="67"/>
    <x v="0"/>
    <x v="4"/>
    <x v="0"/>
    <x v="71"/>
    <x v="2"/>
    <x v="49"/>
    <x v="52"/>
    <x v="9"/>
    <x v="0"/>
  </r>
  <r>
    <x v="72"/>
    <x v="68"/>
    <x v="0"/>
    <x v="1"/>
    <x v="3"/>
    <x v="72"/>
    <x v="9"/>
    <x v="44"/>
    <x v="53"/>
    <x v="9"/>
    <x v="0"/>
  </r>
  <r>
    <x v="73"/>
    <x v="69"/>
    <x v="0"/>
    <x v="1"/>
    <x v="1"/>
    <x v="73"/>
    <x v="1"/>
    <x v="23"/>
    <x v="1"/>
    <x v="30"/>
    <x v="1"/>
  </r>
  <r>
    <x v="74"/>
    <x v="70"/>
    <x v="1"/>
    <x v="1"/>
    <x v="4"/>
    <x v="74"/>
    <x v="10"/>
    <x v="50"/>
    <x v="54"/>
    <x v="33"/>
    <x v="0"/>
  </r>
  <r>
    <x v="75"/>
    <x v="71"/>
    <x v="0"/>
    <x v="5"/>
    <x v="1"/>
    <x v="75"/>
    <x v="7"/>
    <x v="51"/>
    <x v="20"/>
    <x v="20"/>
    <x v="0"/>
  </r>
  <r>
    <x v="76"/>
    <x v="72"/>
    <x v="1"/>
    <x v="3"/>
    <x v="4"/>
    <x v="76"/>
    <x v="7"/>
    <x v="51"/>
    <x v="41"/>
    <x v="37"/>
    <x v="0"/>
  </r>
  <r>
    <x v="77"/>
    <x v="39"/>
    <x v="1"/>
    <x v="2"/>
    <x v="4"/>
    <x v="77"/>
    <x v="1"/>
    <x v="39"/>
    <x v="31"/>
    <x v="38"/>
    <x v="0"/>
  </r>
  <r>
    <x v="78"/>
    <x v="73"/>
    <x v="1"/>
    <x v="7"/>
    <x v="1"/>
    <x v="78"/>
    <x v="10"/>
    <x v="24"/>
    <x v="8"/>
    <x v="8"/>
    <x v="1"/>
  </r>
  <r>
    <x v="79"/>
    <x v="74"/>
    <x v="0"/>
    <x v="2"/>
    <x v="4"/>
    <x v="79"/>
    <x v="3"/>
    <x v="31"/>
    <x v="55"/>
    <x v="16"/>
    <x v="0"/>
  </r>
  <r>
    <x v="80"/>
    <x v="75"/>
    <x v="1"/>
    <x v="1"/>
    <x v="2"/>
    <x v="80"/>
    <x v="3"/>
    <x v="3"/>
    <x v="48"/>
    <x v="14"/>
    <x v="0"/>
  </r>
  <r>
    <x v="81"/>
    <x v="22"/>
    <x v="0"/>
    <x v="1"/>
    <x v="2"/>
    <x v="81"/>
    <x v="9"/>
    <x v="21"/>
    <x v="56"/>
    <x v="10"/>
    <x v="0"/>
  </r>
  <r>
    <x v="82"/>
    <x v="76"/>
    <x v="1"/>
    <x v="2"/>
    <x v="2"/>
    <x v="82"/>
    <x v="4"/>
    <x v="19"/>
    <x v="16"/>
    <x v="39"/>
    <x v="0"/>
  </r>
  <r>
    <x v="83"/>
    <x v="77"/>
    <x v="1"/>
    <x v="2"/>
    <x v="4"/>
    <x v="83"/>
    <x v="0"/>
    <x v="52"/>
    <x v="57"/>
    <x v="20"/>
    <x v="0"/>
  </r>
  <r>
    <x v="84"/>
    <x v="78"/>
    <x v="1"/>
    <x v="6"/>
    <x v="0"/>
    <x v="84"/>
    <x v="5"/>
    <x v="53"/>
    <x v="2"/>
    <x v="36"/>
    <x v="0"/>
  </r>
  <r>
    <x v="85"/>
    <x v="79"/>
    <x v="0"/>
    <x v="7"/>
    <x v="1"/>
    <x v="85"/>
    <x v="1"/>
    <x v="54"/>
    <x v="46"/>
    <x v="7"/>
    <x v="0"/>
  </r>
  <r>
    <x v="86"/>
    <x v="80"/>
    <x v="0"/>
    <x v="6"/>
    <x v="1"/>
    <x v="86"/>
    <x v="3"/>
    <x v="26"/>
    <x v="58"/>
    <x v="40"/>
    <x v="0"/>
  </r>
  <r>
    <x v="87"/>
    <x v="81"/>
    <x v="0"/>
    <x v="7"/>
    <x v="0"/>
    <x v="87"/>
    <x v="10"/>
    <x v="55"/>
    <x v="59"/>
    <x v="28"/>
    <x v="0"/>
  </r>
  <r>
    <x v="88"/>
    <x v="82"/>
    <x v="0"/>
    <x v="3"/>
    <x v="4"/>
    <x v="88"/>
    <x v="5"/>
    <x v="56"/>
    <x v="60"/>
    <x v="9"/>
    <x v="0"/>
  </r>
  <r>
    <x v="89"/>
    <x v="83"/>
    <x v="0"/>
    <x v="1"/>
    <x v="4"/>
    <x v="89"/>
    <x v="2"/>
    <x v="57"/>
    <x v="8"/>
    <x v="41"/>
    <x v="0"/>
  </r>
  <r>
    <x v="90"/>
    <x v="84"/>
    <x v="1"/>
    <x v="1"/>
    <x v="2"/>
    <x v="90"/>
    <x v="1"/>
    <x v="13"/>
    <x v="61"/>
    <x v="8"/>
    <x v="0"/>
  </r>
  <r>
    <x v="91"/>
    <x v="85"/>
    <x v="1"/>
    <x v="6"/>
    <x v="4"/>
    <x v="91"/>
    <x v="7"/>
    <x v="51"/>
    <x v="62"/>
    <x v="32"/>
    <x v="0"/>
  </r>
  <r>
    <x v="92"/>
    <x v="42"/>
    <x v="0"/>
    <x v="1"/>
    <x v="2"/>
    <x v="92"/>
    <x v="6"/>
    <x v="58"/>
    <x v="16"/>
    <x v="9"/>
    <x v="0"/>
  </r>
  <r>
    <x v="93"/>
    <x v="86"/>
    <x v="0"/>
    <x v="3"/>
    <x v="2"/>
    <x v="93"/>
    <x v="9"/>
    <x v="44"/>
    <x v="63"/>
    <x v="42"/>
    <x v="0"/>
  </r>
  <r>
    <x v="94"/>
    <x v="87"/>
    <x v="1"/>
    <x v="7"/>
    <x v="4"/>
    <x v="94"/>
    <x v="6"/>
    <x v="59"/>
    <x v="64"/>
    <x v="20"/>
    <x v="0"/>
  </r>
  <r>
    <x v="95"/>
    <x v="49"/>
    <x v="0"/>
    <x v="2"/>
    <x v="4"/>
    <x v="95"/>
    <x v="8"/>
    <x v="18"/>
    <x v="65"/>
    <x v="21"/>
    <x v="0"/>
  </r>
  <r>
    <x v="96"/>
    <x v="88"/>
    <x v="0"/>
    <x v="5"/>
    <x v="4"/>
    <x v="96"/>
    <x v="10"/>
    <x v="60"/>
    <x v="65"/>
    <x v="36"/>
    <x v="0"/>
  </r>
  <r>
    <x v="97"/>
    <x v="48"/>
    <x v="1"/>
    <x v="4"/>
    <x v="4"/>
    <x v="97"/>
    <x v="9"/>
    <x v="61"/>
    <x v="2"/>
    <x v="28"/>
    <x v="0"/>
  </r>
  <r>
    <x v="98"/>
    <x v="43"/>
    <x v="0"/>
    <x v="7"/>
    <x v="4"/>
    <x v="98"/>
    <x v="2"/>
    <x v="49"/>
    <x v="47"/>
    <x v="8"/>
    <x v="0"/>
  </r>
  <r>
    <x v="99"/>
    <x v="89"/>
    <x v="0"/>
    <x v="5"/>
    <x v="4"/>
    <x v="99"/>
    <x v="0"/>
    <x v="62"/>
    <x v="66"/>
    <x v="43"/>
    <x v="0"/>
  </r>
  <r>
    <x v="100"/>
    <x v="90"/>
    <x v="1"/>
    <x v="1"/>
    <x v="4"/>
    <x v="100"/>
    <x v="6"/>
    <x v="63"/>
    <x v="67"/>
    <x v="14"/>
    <x v="0"/>
  </r>
  <r>
    <x v="101"/>
    <x v="91"/>
    <x v="1"/>
    <x v="5"/>
    <x v="1"/>
    <x v="101"/>
    <x v="6"/>
    <x v="59"/>
    <x v="8"/>
    <x v="44"/>
    <x v="0"/>
  </r>
  <r>
    <x v="102"/>
    <x v="92"/>
    <x v="1"/>
    <x v="2"/>
    <x v="4"/>
    <x v="102"/>
    <x v="3"/>
    <x v="64"/>
    <x v="68"/>
    <x v="5"/>
    <x v="0"/>
  </r>
  <r>
    <x v="103"/>
    <x v="93"/>
    <x v="0"/>
    <x v="2"/>
    <x v="1"/>
    <x v="103"/>
    <x v="5"/>
    <x v="53"/>
    <x v="69"/>
    <x v="19"/>
    <x v="0"/>
  </r>
  <r>
    <x v="104"/>
    <x v="94"/>
    <x v="1"/>
    <x v="7"/>
    <x v="0"/>
    <x v="104"/>
    <x v="1"/>
    <x v="4"/>
    <x v="10"/>
    <x v="30"/>
    <x v="0"/>
  </r>
  <r>
    <x v="105"/>
    <x v="95"/>
    <x v="0"/>
    <x v="7"/>
    <x v="1"/>
    <x v="105"/>
    <x v="4"/>
    <x v="28"/>
    <x v="16"/>
    <x v="12"/>
    <x v="0"/>
  </r>
  <r>
    <x v="106"/>
    <x v="84"/>
    <x v="1"/>
    <x v="4"/>
    <x v="3"/>
    <x v="106"/>
    <x v="9"/>
    <x v="65"/>
    <x v="38"/>
    <x v="16"/>
    <x v="1"/>
  </r>
  <r>
    <x v="107"/>
    <x v="96"/>
    <x v="1"/>
    <x v="6"/>
    <x v="2"/>
    <x v="107"/>
    <x v="8"/>
    <x v="66"/>
    <x v="35"/>
    <x v="12"/>
    <x v="0"/>
  </r>
  <r>
    <x v="108"/>
    <x v="97"/>
    <x v="0"/>
    <x v="4"/>
    <x v="4"/>
    <x v="108"/>
    <x v="10"/>
    <x v="48"/>
    <x v="58"/>
    <x v="18"/>
    <x v="0"/>
  </r>
  <r>
    <x v="109"/>
    <x v="98"/>
    <x v="1"/>
    <x v="2"/>
    <x v="2"/>
    <x v="109"/>
    <x v="3"/>
    <x v="41"/>
    <x v="3"/>
    <x v="26"/>
    <x v="0"/>
  </r>
  <r>
    <x v="110"/>
    <x v="99"/>
    <x v="1"/>
    <x v="3"/>
    <x v="4"/>
    <x v="110"/>
    <x v="3"/>
    <x v="31"/>
    <x v="70"/>
    <x v="33"/>
    <x v="1"/>
  </r>
  <r>
    <x v="111"/>
    <x v="60"/>
    <x v="0"/>
    <x v="2"/>
    <x v="1"/>
    <x v="111"/>
    <x v="0"/>
    <x v="67"/>
    <x v="5"/>
    <x v="45"/>
    <x v="0"/>
  </r>
  <r>
    <x v="112"/>
    <x v="100"/>
    <x v="1"/>
    <x v="3"/>
    <x v="3"/>
    <x v="112"/>
    <x v="0"/>
    <x v="68"/>
    <x v="71"/>
    <x v="2"/>
    <x v="0"/>
  </r>
  <r>
    <x v="113"/>
    <x v="26"/>
    <x v="1"/>
    <x v="5"/>
    <x v="4"/>
    <x v="113"/>
    <x v="9"/>
    <x v="69"/>
    <x v="64"/>
    <x v="9"/>
    <x v="0"/>
  </r>
  <r>
    <x v="114"/>
    <x v="73"/>
    <x v="0"/>
    <x v="7"/>
    <x v="0"/>
    <x v="114"/>
    <x v="9"/>
    <x v="44"/>
    <x v="52"/>
    <x v="21"/>
    <x v="0"/>
  </r>
  <r>
    <x v="115"/>
    <x v="15"/>
    <x v="1"/>
    <x v="5"/>
    <x v="1"/>
    <x v="115"/>
    <x v="3"/>
    <x v="64"/>
    <x v="3"/>
    <x v="15"/>
    <x v="0"/>
  </r>
  <r>
    <x v="116"/>
    <x v="101"/>
    <x v="1"/>
    <x v="1"/>
    <x v="0"/>
    <x v="116"/>
    <x v="6"/>
    <x v="58"/>
    <x v="72"/>
    <x v="19"/>
    <x v="0"/>
  </r>
  <r>
    <x v="117"/>
    <x v="102"/>
    <x v="1"/>
    <x v="7"/>
    <x v="3"/>
    <x v="117"/>
    <x v="7"/>
    <x v="70"/>
    <x v="62"/>
    <x v="29"/>
    <x v="0"/>
  </r>
  <r>
    <x v="118"/>
    <x v="103"/>
    <x v="0"/>
    <x v="5"/>
    <x v="1"/>
    <x v="118"/>
    <x v="7"/>
    <x v="0"/>
    <x v="26"/>
    <x v="35"/>
    <x v="0"/>
  </r>
  <r>
    <x v="119"/>
    <x v="104"/>
    <x v="0"/>
    <x v="1"/>
    <x v="3"/>
    <x v="119"/>
    <x v="1"/>
    <x v="39"/>
    <x v="61"/>
    <x v="30"/>
    <x v="0"/>
  </r>
  <r>
    <x v="120"/>
    <x v="2"/>
    <x v="0"/>
    <x v="7"/>
    <x v="4"/>
    <x v="120"/>
    <x v="6"/>
    <x v="71"/>
    <x v="38"/>
    <x v="36"/>
    <x v="0"/>
  </r>
  <r>
    <x v="121"/>
    <x v="105"/>
    <x v="0"/>
    <x v="4"/>
    <x v="3"/>
    <x v="121"/>
    <x v="3"/>
    <x v="26"/>
    <x v="68"/>
    <x v="26"/>
    <x v="1"/>
  </r>
  <r>
    <x v="122"/>
    <x v="106"/>
    <x v="1"/>
    <x v="6"/>
    <x v="3"/>
    <x v="122"/>
    <x v="10"/>
    <x v="24"/>
    <x v="35"/>
    <x v="35"/>
    <x v="0"/>
  </r>
  <r>
    <x v="123"/>
    <x v="87"/>
    <x v="1"/>
    <x v="1"/>
    <x v="2"/>
    <x v="123"/>
    <x v="7"/>
    <x v="72"/>
    <x v="48"/>
    <x v="4"/>
    <x v="0"/>
  </r>
  <r>
    <x v="124"/>
    <x v="9"/>
    <x v="0"/>
    <x v="7"/>
    <x v="2"/>
    <x v="124"/>
    <x v="8"/>
    <x v="18"/>
    <x v="65"/>
    <x v="33"/>
    <x v="0"/>
  </r>
  <r>
    <x v="125"/>
    <x v="107"/>
    <x v="0"/>
    <x v="7"/>
    <x v="2"/>
    <x v="125"/>
    <x v="0"/>
    <x v="73"/>
    <x v="32"/>
    <x v="32"/>
    <x v="0"/>
  </r>
  <r>
    <x v="126"/>
    <x v="108"/>
    <x v="0"/>
    <x v="3"/>
    <x v="4"/>
    <x v="126"/>
    <x v="0"/>
    <x v="74"/>
    <x v="73"/>
    <x v="35"/>
    <x v="0"/>
  </r>
  <r>
    <x v="127"/>
    <x v="109"/>
    <x v="0"/>
    <x v="5"/>
    <x v="3"/>
    <x v="127"/>
    <x v="7"/>
    <x v="75"/>
    <x v="52"/>
    <x v="42"/>
    <x v="0"/>
  </r>
  <r>
    <x v="128"/>
    <x v="110"/>
    <x v="1"/>
    <x v="6"/>
    <x v="2"/>
    <x v="128"/>
    <x v="9"/>
    <x v="21"/>
    <x v="41"/>
    <x v="28"/>
    <x v="0"/>
  </r>
  <r>
    <x v="129"/>
    <x v="111"/>
    <x v="1"/>
    <x v="7"/>
    <x v="1"/>
    <x v="129"/>
    <x v="6"/>
    <x v="76"/>
    <x v="17"/>
    <x v="46"/>
    <x v="1"/>
  </r>
  <r>
    <x v="130"/>
    <x v="112"/>
    <x v="1"/>
    <x v="3"/>
    <x v="1"/>
    <x v="130"/>
    <x v="4"/>
    <x v="77"/>
    <x v="28"/>
    <x v="10"/>
    <x v="0"/>
  </r>
  <r>
    <x v="131"/>
    <x v="58"/>
    <x v="1"/>
    <x v="4"/>
    <x v="0"/>
    <x v="131"/>
    <x v="5"/>
    <x v="78"/>
    <x v="74"/>
    <x v="6"/>
    <x v="0"/>
  </r>
  <r>
    <x v="132"/>
    <x v="9"/>
    <x v="1"/>
    <x v="6"/>
    <x v="0"/>
    <x v="132"/>
    <x v="10"/>
    <x v="60"/>
    <x v="8"/>
    <x v="35"/>
    <x v="0"/>
  </r>
  <r>
    <x v="133"/>
    <x v="1"/>
    <x v="0"/>
    <x v="6"/>
    <x v="4"/>
    <x v="133"/>
    <x v="4"/>
    <x v="19"/>
    <x v="32"/>
    <x v="12"/>
    <x v="1"/>
  </r>
  <r>
    <x v="134"/>
    <x v="83"/>
    <x v="0"/>
    <x v="3"/>
    <x v="3"/>
    <x v="134"/>
    <x v="6"/>
    <x v="79"/>
    <x v="33"/>
    <x v="38"/>
    <x v="0"/>
  </r>
  <r>
    <x v="135"/>
    <x v="113"/>
    <x v="1"/>
    <x v="5"/>
    <x v="4"/>
    <x v="135"/>
    <x v="8"/>
    <x v="46"/>
    <x v="32"/>
    <x v="7"/>
    <x v="0"/>
  </r>
  <r>
    <x v="136"/>
    <x v="114"/>
    <x v="1"/>
    <x v="3"/>
    <x v="1"/>
    <x v="136"/>
    <x v="7"/>
    <x v="34"/>
    <x v="22"/>
    <x v="36"/>
    <x v="1"/>
  </r>
  <r>
    <x v="137"/>
    <x v="115"/>
    <x v="1"/>
    <x v="6"/>
    <x v="3"/>
    <x v="137"/>
    <x v="8"/>
    <x v="12"/>
    <x v="49"/>
    <x v="40"/>
    <x v="0"/>
  </r>
  <r>
    <x v="138"/>
    <x v="116"/>
    <x v="0"/>
    <x v="7"/>
    <x v="4"/>
    <x v="138"/>
    <x v="2"/>
    <x v="49"/>
    <x v="75"/>
    <x v="8"/>
    <x v="0"/>
  </r>
  <r>
    <x v="139"/>
    <x v="53"/>
    <x v="0"/>
    <x v="5"/>
    <x v="0"/>
    <x v="139"/>
    <x v="5"/>
    <x v="80"/>
    <x v="7"/>
    <x v="32"/>
    <x v="0"/>
  </r>
  <r>
    <x v="140"/>
    <x v="117"/>
    <x v="1"/>
    <x v="5"/>
    <x v="4"/>
    <x v="140"/>
    <x v="3"/>
    <x v="41"/>
    <x v="5"/>
    <x v="19"/>
    <x v="0"/>
  </r>
  <r>
    <x v="141"/>
    <x v="118"/>
    <x v="0"/>
    <x v="5"/>
    <x v="0"/>
    <x v="141"/>
    <x v="7"/>
    <x v="34"/>
    <x v="17"/>
    <x v="2"/>
    <x v="0"/>
  </r>
  <r>
    <x v="142"/>
    <x v="119"/>
    <x v="1"/>
    <x v="6"/>
    <x v="0"/>
    <x v="142"/>
    <x v="7"/>
    <x v="20"/>
    <x v="15"/>
    <x v="39"/>
    <x v="0"/>
  </r>
  <r>
    <x v="143"/>
    <x v="120"/>
    <x v="1"/>
    <x v="1"/>
    <x v="4"/>
    <x v="143"/>
    <x v="8"/>
    <x v="12"/>
    <x v="76"/>
    <x v="39"/>
    <x v="0"/>
  </r>
  <r>
    <x v="144"/>
    <x v="121"/>
    <x v="1"/>
    <x v="4"/>
    <x v="0"/>
    <x v="144"/>
    <x v="9"/>
    <x v="15"/>
    <x v="22"/>
    <x v="12"/>
    <x v="0"/>
  </r>
  <r>
    <x v="145"/>
    <x v="122"/>
    <x v="1"/>
    <x v="6"/>
    <x v="0"/>
    <x v="145"/>
    <x v="4"/>
    <x v="81"/>
    <x v="22"/>
    <x v="8"/>
    <x v="0"/>
  </r>
  <r>
    <x v="146"/>
    <x v="123"/>
    <x v="1"/>
    <x v="2"/>
    <x v="4"/>
    <x v="146"/>
    <x v="1"/>
    <x v="1"/>
    <x v="77"/>
    <x v="15"/>
    <x v="0"/>
  </r>
  <r>
    <x v="147"/>
    <x v="24"/>
    <x v="0"/>
    <x v="5"/>
    <x v="1"/>
    <x v="147"/>
    <x v="10"/>
    <x v="60"/>
    <x v="64"/>
    <x v="36"/>
    <x v="0"/>
  </r>
  <r>
    <x v="148"/>
    <x v="124"/>
    <x v="0"/>
    <x v="6"/>
    <x v="1"/>
    <x v="148"/>
    <x v="8"/>
    <x v="12"/>
    <x v="47"/>
    <x v="12"/>
    <x v="0"/>
  </r>
  <r>
    <x v="149"/>
    <x v="125"/>
    <x v="0"/>
    <x v="1"/>
    <x v="2"/>
    <x v="149"/>
    <x v="10"/>
    <x v="29"/>
    <x v="30"/>
    <x v="10"/>
    <x v="0"/>
  </r>
  <r>
    <x v="150"/>
    <x v="91"/>
    <x v="1"/>
    <x v="3"/>
    <x v="3"/>
    <x v="150"/>
    <x v="8"/>
    <x v="46"/>
    <x v="78"/>
    <x v="14"/>
    <x v="1"/>
  </r>
  <r>
    <x v="151"/>
    <x v="126"/>
    <x v="1"/>
    <x v="2"/>
    <x v="0"/>
    <x v="151"/>
    <x v="6"/>
    <x v="8"/>
    <x v="79"/>
    <x v="5"/>
    <x v="0"/>
  </r>
  <r>
    <x v="152"/>
    <x v="127"/>
    <x v="0"/>
    <x v="2"/>
    <x v="0"/>
    <x v="152"/>
    <x v="3"/>
    <x v="41"/>
    <x v="23"/>
    <x v="4"/>
    <x v="1"/>
  </r>
  <r>
    <x v="153"/>
    <x v="7"/>
    <x v="0"/>
    <x v="5"/>
    <x v="1"/>
    <x v="153"/>
    <x v="5"/>
    <x v="56"/>
    <x v="32"/>
    <x v="47"/>
    <x v="0"/>
  </r>
  <r>
    <x v="154"/>
    <x v="128"/>
    <x v="1"/>
    <x v="3"/>
    <x v="0"/>
    <x v="154"/>
    <x v="4"/>
    <x v="33"/>
    <x v="80"/>
    <x v="44"/>
    <x v="0"/>
  </r>
  <r>
    <x v="155"/>
    <x v="21"/>
    <x v="0"/>
    <x v="2"/>
    <x v="1"/>
    <x v="155"/>
    <x v="9"/>
    <x v="82"/>
    <x v="9"/>
    <x v="2"/>
    <x v="0"/>
  </r>
  <r>
    <x v="156"/>
    <x v="129"/>
    <x v="1"/>
    <x v="5"/>
    <x v="4"/>
    <x v="156"/>
    <x v="2"/>
    <x v="47"/>
    <x v="49"/>
    <x v="18"/>
    <x v="0"/>
  </r>
  <r>
    <x v="157"/>
    <x v="130"/>
    <x v="0"/>
    <x v="7"/>
    <x v="4"/>
    <x v="157"/>
    <x v="7"/>
    <x v="70"/>
    <x v="41"/>
    <x v="8"/>
    <x v="0"/>
  </r>
  <r>
    <x v="158"/>
    <x v="131"/>
    <x v="0"/>
    <x v="1"/>
    <x v="2"/>
    <x v="158"/>
    <x v="1"/>
    <x v="54"/>
    <x v="67"/>
    <x v="21"/>
    <x v="0"/>
  </r>
  <r>
    <x v="159"/>
    <x v="132"/>
    <x v="0"/>
    <x v="6"/>
    <x v="0"/>
    <x v="159"/>
    <x v="4"/>
    <x v="45"/>
    <x v="17"/>
    <x v="44"/>
    <x v="0"/>
  </r>
  <r>
    <x v="160"/>
    <x v="133"/>
    <x v="1"/>
    <x v="2"/>
    <x v="4"/>
    <x v="160"/>
    <x v="4"/>
    <x v="81"/>
    <x v="17"/>
    <x v="32"/>
    <x v="0"/>
  </r>
  <r>
    <x v="161"/>
    <x v="125"/>
    <x v="1"/>
    <x v="5"/>
    <x v="0"/>
    <x v="161"/>
    <x v="2"/>
    <x v="49"/>
    <x v="64"/>
    <x v="44"/>
    <x v="1"/>
  </r>
  <r>
    <x v="162"/>
    <x v="134"/>
    <x v="1"/>
    <x v="2"/>
    <x v="2"/>
    <x v="162"/>
    <x v="7"/>
    <x v="83"/>
    <x v="16"/>
    <x v="8"/>
    <x v="0"/>
  </r>
  <r>
    <x v="163"/>
    <x v="135"/>
    <x v="1"/>
    <x v="4"/>
    <x v="0"/>
    <x v="163"/>
    <x v="10"/>
    <x v="84"/>
    <x v="81"/>
    <x v="33"/>
    <x v="0"/>
  </r>
  <r>
    <x v="164"/>
    <x v="136"/>
    <x v="1"/>
    <x v="3"/>
    <x v="1"/>
    <x v="164"/>
    <x v="3"/>
    <x v="3"/>
    <x v="15"/>
    <x v="2"/>
    <x v="0"/>
  </r>
  <r>
    <x v="165"/>
    <x v="137"/>
    <x v="0"/>
    <x v="1"/>
    <x v="2"/>
    <x v="165"/>
    <x v="3"/>
    <x v="85"/>
    <x v="82"/>
    <x v="18"/>
    <x v="0"/>
  </r>
  <r>
    <x v="166"/>
    <x v="138"/>
    <x v="0"/>
    <x v="6"/>
    <x v="0"/>
    <x v="166"/>
    <x v="4"/>
    <x v="28"/>
    <x v="17"/>
    <x v="9"/>
    <x v="1"/>
  </r>
  <r>
    <x v="167"/>
    <x v="139"/>
    <x v="1"/>
    <x v="2"/>
    <x v="4"/>
    <x v="167"/>
    <x v="6"/>
    <x v="37"/>
    <x v="83"/>
    <x v="16"/>
    <x v="0"/>
  </r>
  <r>
    <x v="168"/>
    <x v="140"/>
    <x v="1"/>
    <x v="1"/>
    <x v="4"/>
    <x v="168"/>
    <x v="3"/>
    <x v="26"/>
    <x v="48"/>
    <x v="21"/>
    <x v="0"/>
  </r>
  <r>
    <x v="169"/>
    <x v="141"/>
    <x v="1"/>
    <x v="1"/>
    <x v="2"/>
    <x v="169"/>
    <x v="2"/>
    <x v="14"/>
    <x v="82"/>
    <x v="28"/>
    <x v="0"/>
  </r>
  <r>
    <x v="170"/>
    <x v="142"/>
    <x v="0"/>
    <x v="2"/>
    <x v="4"/>
    <x v="170"/>
    <x v="1"/>
    <x v="32"/>
    <x v="14"/>
    <x v="31"/>
    <x v="0"/>
  </r>
  <r>
    <x v="171"/>
    <x v="143"/>
    <x v="1"/>
    <x v="2"/>
    <x v="3"/>
    <x v="171"/>
    <x v="9"/>
    <x v="82"/>
    <x v="1"/>
    <x v="18"/>
    <x v="0"/>
  </r>
  <r>
    <x v="172"/>
    <x v="5"/>
    <x v="1"/>
    <x v="2"/>
    <x v="0"/>
    <x v="172"/>
    <x v="5"/>
    <x v="86"/>
    <x v="84"/>
    <x v="6"/>
    <x v="0"/>
  </r>
  <r>
    <x v="173"/>
    <x v="45"/>
    <x v="1"/>
    <x v="3"/>
    <x v="2"/>
    <x v="173"/>
    <x v="6"/>
    <x v="37"/>
    <x v="60"/>
    <x v="40"/>
    <x v="0"/>
  </r>
  <r>
    <x v="174"/>
    <x v="144"/>
    <x v="1"/>
    <x v="1"/>
    <x v="2"/>
    <x v="174"/>
    <x v="3"/>
    <x v="41"/>
    <x v="63"/>
    <x v="2"/>
    <x v="1"/>
  </r>
  <r>
    <x v="175"/>
    <x v="145"/>
    <x v="0"/>
    <x v="2"/>
    <x v="0"/>
    <x v="175"/>
    <x v="3"/>
    <x v="85"/>
    <x v="21"/>
    <x v="38"/>
    <x v="1"/>
  </r>
  <r>
    <x v="176"/>
    <x v="146"/>
    <x v="1"/>
    <x v="7"/>
    <x v="0"/>
    <x v="60"/>
    <x v="1"/>
    <x v="32"/>
    <x v="66"/>
    <x v="28"/>
    <x v="0"/>
  </r>
  <r>
    <x v="177"/>
    <x v="147"/>
    <x v="0"/>
    <x v="3"/>
    <x v="1"/>
    <x v="136"/>
    <x v="7"/>
    <x v="34"/>
    <x v="12"/>
    <x v="32"/>
    <x v="0"/>
  </r>
  <r>
    <x v="178"/>
    <x v="98"/>
    <x v="0"/>
    <x v="2"/>
    <x v="1"/>
    <x v="176"/>
    <x v="4"/>
    <x v="45"/>
    <x v="62"/>
    <x v="48"/>
    <x v="0"/>
  </r>
  <r>
    <x v="179"/>
    <x v="8"/>
    <x v="0"/>
    <x v="5"/>
    <x v="4"/>
    <x v="177"/>
    <x v="1"/>
    <x v="54"/>
    <x v="74"/>
    <x v="36"/>
    <x v="0"/>
  </r>
  <r>
    <x v="180"/>
    <x v="135"/>
    <x v="0"/>
    <x v="5"/>
    <x v="2"/>
    <x v="178"/>
    <x v="4"/>
    <x v="6"/>
    <x v="12"/>
    <x v="3"/>
    <x v="0"/>
  </r>
  <r>
    <x v="181"/>
    <x v="148"/>
    <x v="0"/>
    <x v="6"/>
    <x v="2"/>
    <x v="179"/>
    <x v="9"/>
    <x v="82"/>
    <x v="10"/>
    <x v="34"/>
    <x v="0"/>
  </r>
  <r>
    <x v="182"/>
    <x v="52"/>
    <x v="1"/>
    <x v="3"/>
    <x v="2"/>
    <x v="180"/>
    <x v="7"/>
    <x v="75"/>
    <x v="85"/>
    <x v="14"/>
    <x v="0"/>
  </r>
  <r>
    <x v="183"/>
    <x v="137"/>
    <x v="1"/>
    <x v="3"/>
    <x v="0"/>
    <x v="181"/>
    <x v="5"/>
    <x v="87"/>
    <x v="74"/>
    <x v="40"/>
    <x v="0"/>
  </r>
  <r>
    <x v="184"/>
    <x v="94"/>
    <x v="0"/>
    <x v="5"/>
    <x v="4"/>
    <x v="182"/>
    <x v="4"/>
    <x v="27"/>
    <x v="9"/>
    <x v="14"/>
    <x v="0"/>
  </r>
  <r>
    <x v="185"/>
    <x v="130"/>
    <x v="0"/>
    <x v="4"/>
    <x v="0"/>
    <x v="183"/>
    <x v="7"/>
    <x v="70"/>
    <x v="86"/>
    <x v="29"/>
    <x v="1"/>
  </r>
  <r>
    <x v="186"/>
    <x v="149"/>
    <x v="0"/>
    <x v="5"/>
    <x v="3"/>
    <x v="184"/>
    <x v="7"/>
    <x v="83"/>
    <x v="44"/>
    <x v="32"/>
    <x v="0"/>
  </r>
  <r>
    <x v="187"/>
    <x v="150"/>
    <x v="0"/>
    <x v="1"/>
    <x v="3"/>
    <x v="185"/>
    <x v="10"/>
    <x v="84"/>
    <x v="42"/>
    <x v="18"/>
    <x v="0"/>
  </r>
  <r>
    <x v="188"/>
    <x v="151"/>
    <x v="0"/>
    <x v="6"/>
    <x v="2"/>
    <x v="186"/>
    <x v="6"/>
    <x v="79"/>
    <x v="50"/>
    <x v="30"/>
    <x v="0"/>
  </r>
  <r>
    <x v="189"/>
    <x v="34"/>
    <x v="0"/>
    <x v="1"/>
    <x v="0"/>
    <x v="187"/>
    <x v="4"/>
    <x v="33"/>
    <x v="53"/>
    <x v="6"/>
    <x v="1"/>
  </r>
  <r>
    <x v="190"/>
    <x v="102"/>
    <x v="1"/>
    <x v="6"/>
    <x v="1"/>
    <x v="188"/>
    <x v="2"/>
    <x v="10"/>
    <x v="32"/>
    <x v="49"/>
    <x v="0"/>
  </r>
  <r>
    <x v="191"/>
    <x v="149"/>
    <x v="0"/>
    <x v="2"/>
    <x v="0"/>
    <x v="189"/>
    <x v="9"/>
    <x v="88"/>
    <x v="35"/>
    <x v="7"/>
    <x v="0"/>
  </r>
  <r>
    <x v="192"/>
    <x v="152"/>
    <x v="1"/>
    <x v="7"/>
    <x v="1"/>
    <x v="190"/>
    <x v="7"/>
    <x v="83"/>
    <x v="73"/>
    <x v="44"/>
    <x v="1"/>
  </r>
  <r>
    <x v="193"/>
    <x v="137"/>
    <x v="0"/>
    <x v="2"/>
    <x v="3"/>
    <x v="191"/>
    <x v="1"/>
    <x v="32"/>
    <x v="18"/>
    <x v="16"/>
    <x v="0"/>
  </r>
  <r>
    <x v="194"/>
    <x v="153"/>
    <x v="1"/>
    <x v="3"/>
    <x v="1"/>
    <x v="192"/>
    <x v="0"/>
    <x v="52"/>
    <x v="29"/>
    <x v="2"/>
    <x v="0"/>
  </r>
  <r>
    <x v="195"/>
    <x v="154"/>
    <x v="0"/>
    <x v="7"/>
    <x v="1"/>
    <x v="193"/>
    <x v="2"/>
    <x v="36"/>
    <x v="9"/>
    <x v="39"/>
    <x v="0"/>
  </r>
  <r>
    <x v="196"/>
    <x v="92"/>
    <x v="0"/>
    <x v="7"/>
    <x v="3"/>
    <x v="194"/>
    <x v="9"/>
    <x v="15"/>
    <x v="73"/>
    <x v="33"/>
    <x v="0"/>
  </r>
  <r>
    <x v="197"/>
    <x v="155"/>
    <x v="1"/>
    <x v="1"/>
    <x v="2"/>
    <x v="195"/>
    <x v="10"/>
    <x v="43"/>
    <x v="32"/>
    <x v="16"/>
    <x v="0"/>
  </r>
  <r>
    <x v="198"/>
    <x v="156"/>
    <x v="1"/>
    <x v="4"/>
    <x v="4"/>
    <x v="196"/>
    <x v="5"/>
    <x v="89"/>
    <x v="87"/>
    <x v="9"/>
    <x v="0"/>
  </r>
  <r>
    <x v="199"/>
    <x v="15"/>
    <x v="0"/>
    <x v="6"/>
    <x v="0"/>
    <x v="197"/>
    <x v="7"/>
    <x v="75"/>
    <x v="64"/>
    <x v="26"/>
    <x v="1"/>
  </r>
  <r>
    <x v="200"/>
    <x v="43"/>
    <x v="1"/>
    <x v="6"/>
    <x v="0"/>
    <x v="198"/>
    <x v="6"/>
    <x v="59"/>
    <x v="52"/>
    <x v="5"/>
    <x v="0"/>
  </r>
  <r>
    <x v="201"/>
    <x v="157"/>
    <x v="0"/>
    <x v="1"/>
    <x v="4"/>
    <x v="199"/>
    <x v="10"/>
    <x v="60"/>
    <x v="15"/>
    <x v="22"/>
    <x v="0"/>
  </r>
  <r>
    <x v="202"/>
    <x v="3"/>
    <x v="1"/>
    <x v="6"/>
    <x v="1"/>
    <x v="200"/>
    <x v="9"/>
    <x v="82"/>
    <x v="3"/>
    <x v="40"/>
    <x v="0"/>
  </r>
  <r>
    <x v="203"/>
    <x v="158"/>
    <x v="1"/>
    <x v="5"/>
    <x v="1"/>
    <x v="201"/>
    <x v="7"/>
    <x v="51"/>
    <x v="32"/>
    <x v="26"/>
    <x v="0"/>
  </r>
  <r>
    <x v="204"/>
    <x v="159"/>
    <x v="0"/>
    <x v="7"/>
    <x v="1"/>
    <x v="202"/>
    <x v="0"/>
    <x v="90"/>
    <x v="88"/>
    <x v="18"/>
    <x v="0"/>
  </r>
  <r>
    <x v="205"/>
    <x v="88"/>
    <x v="1"/>
    <x v="1"/>
    <x v="2"/>
    <x v="203"/>
    <x v="7"/>
    <x v="75"/>
    <x v="84"/>
    <x v="44"/>
    <x v="0"/>
  </r>
  <r>
    <x v="206"/>
    <x v="160"/>
    <x v="0"/>
    <x v="7"/>
    <x v="3"/>
    <x v="204"/>
    <x v="7"/>
    <x v="75"/>
    <x v="49"/>
    <x v="33"/>
    <x v="0"/>
  </r>
  <r>
    <x v="207"/>
    <x v="63"/>
    <x v="1"/>
    <x v="6"/>
    <x v="3"/>
    <x v="205"/>
    <x v="2"/>
    <x v="49"/>
    <x v="24"/>
    <x v="37"/>
    <x v="0"/>
  </r>
  <r>
    <x v="208"/>
    <x v="19"/>
    <x v="1"/>
    <x v="1"/>
    <x v="2"/>
    <x v="206"/>
    <x v="6"/>
    <x v="79"/>
    <x v="25"/>
    <x v="39"/>
    <x v="0"/>
  </r>
  <r>
    <x v="209"/>
    <x v="161"/>
    <x v="1"/>
    <x v="1"/>
    <x v="0"/>
    <x v="207"/>
    <x v="4"/>
    <x v="91"/>
    <x v="69"/>
    <x v="22"/>
    <x v="1"/>
  </r>
  <r>
    <x v="210"/>
    <x v="8"/>
    <x v="1"/>
    <x v="7"/>
    <x v="4"/>
    <x v="208"/>
    <x v="3"/>
    <x v="5"/>
    <x v="45"/>
    <x v="36"/>
    <x v="1"/>
  </r>
  <r>
    <x v="211"/>
    <x v="162"/>
    <x v="0"/>
    <x v="2"/>
    <x v="0"/>
    <x v="209"/>
    <x v="5"/>
    <x v="87"/>
    <x v="22"/>
    <x v="37"/>
    <x v="0"/>
  </r>
  <r>
    <x v="212"/>
    <x v="163"/>
    <x v="1"/>
    <x v="2"/>
    <x v="1"/>
    <x v="210"/>
    <x v="10"/>
    <x v="92"/>
    <x v="57"/>
    <x v="43"/>
    <x v="0"/>
  </r>
  <r>
    <x v="213"/>
    <x v="164"/>
    <x v="1"/>
    <x v="2"/>
    <x v="1"/>
    <x v="211"/>
    <x v="7"/>
    <x v="25"/>
    <x v="47"/>
    <x v="20"/>
    <x v="0"/>
  </r>
  <r>
    <x v="214"/>
    <x v="113"/>
    <x v="1"/>
    <x v="3"/>
    <x v="2"/>
    <x v="212"/>
    <x v="3"/>
    <x v="3"/>
    <x v="73"/>
    <x v="15"/>
    <x v="0"/>
  </r>
  <r>
    <x v="215"/>
    <x v="117"/>
    <x v="0"/>
    <x v="3"/>
    <x v="3"/>
    <x v="213"/>
    <x v="2"/>
    <x v="57"/>
    <x v="2"/>
    <x v="5"/>
    <x v="0"/>
  </r>
  <r>
    <x v="216"/>
    <x v="104"/>
    <x v="1"/>
    <x v="6"/>
    <x v="2"/>
    <x v="214"/>
    <x v="3"/>
    <x v="3"/>
    <x v="59"/>
    <x v="41"/>
    <x v="0"/>
  </r>
  <r>
    <x v="217"/>
    <x v="165"/>
    <x v="1"/>
    <x v="4"/>
    <x v="1"/>
    <x v="215"/>
    <x v="6"/>
    <x v="58"/>
    <x v="60"/>
    <x v="32"/>
    <x v="0"/>
  </r>
  <r>
    <x v="218"/>
    <x v="166"/>
    <x v="0"/>
    <x v="1"/>
    <x v="3"/>
    <x v="216"/>
    <x v="4"/>
    <x v="28"/>
    <x v="52"/>
    <x v="3"/>
    <x v="0"/>
  </r>
  <r>
    <x v="219"/>
    <x v="167"/>
    <x v="0"/>
    <x v="1"/>
    <x v="0"/>
    <x v="217"/>
    <x v="6"/>
    <x v="63"/>
    <x v="89"/>
    <x v="27"/>
    <x v="0"/>
  </r>
  <r>
    <x v="220"/>
    <x v="154"/>
    <x v="0"/>
    <x v="3"/>
    <x v="4"/>
    <x v="218"/>
    <x v="9"/>
    <x v="61"/>
    <x v="33"/>
    <x v="26"/>
    <x v="0"/>
  </r>
  <r>
    <x v="221"/>
    <x v="168"/>
    <x v="1"/>
    <x v="1"/>
    <x v="0"/>
    <x v="219"/>
    <x v="7"/>
    <x v="70"/>
    <x v="28"/>
    <x v="19"/>
    <x v="0"/>
  </r>
  <r>
    <x v="222"/>
    <x v="169"/>
    <x v="0"/>
    <x v="1"/>
    <x v="3"/>
    <x v="220"/>
    <x v="3"/>
    <x v="64"/>
    <x v="49"/>
    <x v="18"/>
    <x v="0"/>
  </r>
  <r>
    <x v="223"/>
    <x v="65"/>
    <x v="0"/>
    <x v="3"/>
    <x v="1"/>
    <x v="221"/>
    <x v="5"/>
    <x v="86"/>
    <x v="90"/>
    <x v="40"/>
    <x v="0"/>
  </r>
  <r>
    <x v="224"/>
    <x v="170"/>
    <x v="1"/>
    <x v="7"/>
    <x v="1"/>
    <x v="222"/>
    <x v="10"/>
    <x v="55"/>
    <x v="88"/>
    <x v="36"/>
    <x v="0"/>
  </r>
  <r>
    <x v="225"/>
    <x v="117"/>
    <x v="0"/>
    <x v="2"/>
    <x v="4"/>
    <x v="223"/>
    <x v="9"/>
    <x v="61"/>
    <x v="21"/>
    <x v="24"/>
    <x v="0"/>
  </r>
  <r>
    <x v="226"/>
    <x v="171"/>
    <x v="0"/>
    <x v="3"/>
    <x v="1"/>
    <x v="224"/>
    <x v="1"/>
    <x v="93"/>
    <x v="7"/>
    <x v="7"/>
    <x v="0"/>
  </r>
  <r>
    <x v="227"/>
    <x v="172"/>
    <x v="1"/>
    <x v="1"/>
    <x v="0"/>
    <x v="225"/>
    <x v="4"/>
    <x v="45"/>
    <x v="9"/>
    <x v="39"/>
    <x v="0"/>
  </r>
  <r>
    <x v="228"/>
    <x v="173"/>
    <x v="1"/>
    <x v="3"/>
    <x v="4"/>
    <x v="226"/>
    <x v="5"/>
    <x v="53"/>
    <x v="41"/>
    <x v="16"/>
    <x v="0"/>
  </r>
  <r>
    <x v="229"/>
    <x v="174"/>
    <x v="1"/>
    <x v="7"/>
    <x v="0"/>
    <x v="227"/>
    <x v="8"/>
    <x v="66"/>
    <x v="4"/>
    <x v="40"/>
    <x v="0"/>
  </r>
  <r>
    <x v="230"/>
    <x v="175"/>
    <x v="1"/>
    <x v="7"/>
    <x v="0"/>
    <x v="228"/>
    <x v="9"/>
    <x v="88"/>
    <x v="91"/>
    <x v="2"/>
    <x v="0"/>
  </r>
  <r>
    <x v="231"/>
    <x v="23"/>
    <x v="1"/>
    <x v="2"/>
    <x v="0"/>
    <x v="229"/>
    <x v="8"/>
    <x v="38"/>
    <x v="46"/>
    <x v="9"/>
    <x v="0"/>
  </r>
  <r>
    <x v="232"/>
    <x v="176"/>
    <x v="1"/>
    <x v="4"/>
    <x v="2"/>
    <x v="121"/>
    <x v="3"/>
    <x v="26"/>
    <x v="8"/>
    <x v="45"/>
    <x v="0"/>
  </r>
  <r>
    <x v="233"/>
    <x v="177"/>
    <x v="1"/>
    <x v="1"/>
    <x v="1"/>
    <x v="230"/>
    <x v="4"/>
    <x v="94"/>
    <x v="28"/>
    <x v="13"/>
    <x v="0"/>
  </r>
  <r>
    <x v="234"/>
    <x v="143"/>
    <x v="0"/>
    <x v="6"/>
    <x v="4"/>
    <x v="231"/>
    <x v="8"/>
    <x v="66"/>
    <x v="91"/>
    <x v="26"/>
    <x v="0"/>
  </r>
  <r>
    <x v="235"/>
    <x v="178"/>
    <x v="1"/>
    <x v="7"/>
    <x v="4"/>
    <x v="232"/>
    <x v="10"/>
    <x v="84"/>
    <x v="66"/>
    <x v="16"/>
    <x v="0"/>
  </r>
  <r>
    <x v="236"/>
    <x v="179"/>
    <x v="0"/>
    <x v="4"/>
    <x v="0"/>
    <x v="233"/>
    <x v="2"/>
    <x v="49"/>
    <x v="2"/>
    <x v="44"/>
    <x v="0"/>
  </r>
  <r>
    <x v="237"/>
    <x v="180"/>
    <x v="1"/>
    <x v="7"/>
    <x v="4"/>
    <x v="234"/>
    <x v="10"/>
    <x v="24"/>
    <x v="14"/>
    <x v="18"/>
    <x v="0"/>
  </r>
  <r>
    <x v="238"/>
    <x v="175"/>
    <x v="0"/>
    <x v="4"/>
    <x v="4"/>
    <x v="235"/>
    <x v="7"/>
    <x v="0"/>
    <x v="13"/>
    <x v="14"/>
    <x v="0"/>
  </r>
  <r>
    <x v="239"/>
    <x v="181"/>
    <x v="1"/>
    <x v="5"/>
    <x v="2"/>
    <x v="210"/>
    <x v="10"/>
    <x v="92"/>
    <x v="63"/>
    <x v="2"/>
    <x v="0"/>
  </r>
  <r>
    <x v="240"/>
    <x v="79"/>
    <x v="1"/>
    <x v="6"/>
    <x v="1"/>
    <x v="236"/>
    <x v="8"/>
    <x v="46"/>
    <x v="62"/>
    <x v="8"/>
    <x v="0"/>
  </r>
  <r>
    <x v="241"/>
    <x v="182"/>
    <x v="1"/>
    <x v="3"/>
    <x v="3"/>
    <x v="237"/>
    <x v="0"/>
    <x v="90"/>
    <x v="20"/>
    <x v="49"/>
    <x v="0"/>
  </r>
  <r>
    <x v="242"/>
    <x v="43"/>
    <x v="1"/>
    <x v="5"/>
    <x v="3"/>
    <x v="238"/>
    <x v="10"/>
    <x v="92"/>
    <x v="29"/>
    <x v="44"/>
    <x v="0"/>
  </r>
  <r>
    <x v="243"/>
    <x v="85"/>
    <x v="1"/>
    <x v="7"/>
    <x v="2"/>
    <x v="239"/>
    <x v="5"/>
    <x v="80"/>
    <x v="90"/>
    <x v="7"/>
    <x v="0"/>
  </r>
  <r>
    <x v="244"/>
    <x v="19"/>
    <x v="1"/>
    <x v="7"/>
    <x v="0"/>
    <x v="240"/>
    <x v="1"/>
    <x v="39"/>
    <x v="39"/>
    <x v="9"/>
    <x v="1"/>
  </r>
  <r>
    <x v="245"/>
    <x v="107"/>
    <x v="0"/>
    <x v="1"/>
    <x v="1"/>
    <x v="241"/>
    <x v="0"/>
    <x v="73"/>
    <x v="57"/>
    <x v="34"/>
    <x v="0"/>
  </r>
  <r>
    <x v="246"/>
    <x v="183"/>
    <x v="0"/>
    <x v="4"/>
    <x v="0"/>
    <x v="242"/>
    <x v="6"/>
    <x v="8"/>
    <x v="74"/>
    <x v="26"/>
    <x v="1"/>
  </r>
  <r>
    <x v="247"/>
    <x v="184"/>
    <x v="1"/>
    <x v="1"/>
    <x v="2"/>
    <x v="243"/>
    <x v="6"/>
    <x v="8"/>
    <x v="89"/>
    <x v="33"/>
    <x v="0"/>
  </r>
  <r>
    <x v="248"/>
    <x v="185"/>
    <x v="0"/>
    <x v="3"/>
    <x v="2"/>
    <x v="244"/>
    <x v="8"/>
    <x v="95"/>
    <x v="47"/>
    <x v="30"/>
    <x v="0"/>
  </r>
  <r>
    <x v="249"/>
    <x v="28"/>
    <x v="1"/>
    <x v="1"/>
    <x v="4"/>
    <x v="245"/>
    <x v="4"/>
    <x v="94"/>
    <x v="5"/>
    <x v="9"/>
    <x v="0"/>
  </r>
  <r>
    <x v="250"/>
    <x v="186"/>
    <x v="1"/>
    <x v="5"/>
    <x v="4"/>
    <x v="246"/>
    <x v="5"/>
    <x v="53"/>
    <x v="91"/>
    <x v="42"/>
    <x v="0"/>
  </r>
  <r>
    <x v="251"/>
    <x v="187"/>
    <x v="1"/>
    <x v="1"/>
    <x v="1"/>
    <x v="247"/>
    <x v="3"/>
    <x v="26"/>
    <x v="92"/>
    <x v="34"/>
    <x v="0"/>
  </r>
  <r>
    <x v="252"/>
    <x v="188"/>
    <x v="0"/>
    <x v="5"/>
    <x v="3"/>
    <x v="248"/>
    <x v="10"/>
    <x v="60"/>
    <x v="26"/>
    <x v="12"/>
    <x v="0"/>
  </r>
  <r>
    <x v="253"/>
    <x v="140"/>
    <x v="0"/>
    <x v="6"/>
    <x v="1"/>
    <x v="249"/>
    <x v="5"/>
    <x v="30"/>
    <x v="71"/>
    <x v="9"/>
    <x v="0"/>
  </r>
  <r>
    <x v="254"/>
    <x v="189"/>
    <x v="1"/>
    <x v="2"/>
    <x v="4"/>
    <x v="250"/>
    <x v="5"/>
    <x v="30"/>
    <x v="66"/>
    <x v="40"/>
    <x v="0"/>
  </r>
  <r>
    <x v="255"/>
    <x v="176"/>
    <x v="1"/>
    <x v="7"/>
    <x v="3"/>
    <x v="251"/>
    <x v="10"/>
    <x v="43"/>
    <x v="16"/>
    <x v="16"/>
    <x v="0"/>
  </r>
  <r>
    <x v="256"/>
    <x v="190"/>
    <x v="1"/>
    <x v="6"/>
    <x v="3"/>
    <x v="252"/>
    <x v="9"/>
    <x v="15"/>
    <x v="47"/>
    <x v="11"/>
    <x v="0"/>
  </r>
  <r>
    <x v="257"/>
    <x v="18"/>
    <x v="1"/>
    <x v="5"/>
    <x v="2"/>
    <x v="253"/>
    <x v="0"/>
    <x v="62"/>
    <x v="1"/>
    <x v="7"/>
    <x v="0"/>
  </r>
  <r>
    <x v="258"/>
    <x v="191"/>
    <x v="0"/>
    <x v="2"/>
    <x v="1"/>
    <x v="254"/>
    <x v="8"/>
    <x v="96"/>
    <x v="10"/>
    <x v="6"/>
    <x v="0"/>
  </r>
  <r>
    <x v="259"/>
    <x v="192"/>
    <x v="0"/>
    <x v="5"/>
    <x v="4"/>
    <x v="255"/>
    <x v="6"/>
    <x v="37"/>
    <x v="60"/>
    <x v="42"/>
    <x v="0"/>
  </r>
  <r>
    <x v="260"/>
    <x v="193"/>
    <x v="1"/>
    <x v="3"/>
    <x v="0"/>
    <x v="256"/>
    <x v="4"/>
    <x v="81"/>
    <x v="57"/>
    <x v="10"/>
    <x v="0"/>
  </r>
  <r>
    <x v="261"/>
    <x v="194"/>
    <x v="1"/>
    <x v="3"/>
    <x v="2"/>
    <x v="257"/>
    <x v="0"/>
    <x v="52"/>
    <x v="68"/>
    <x v="4"/>
    <x v="0"/>
  </r>
  <r>
    <x v="262"/>
    <x v="195"/>
    <x v="0"/>
    <x v="7"/>
    <x v="4"/>
    <x v="258"/>
    <x v="2"/>
    <x v="57"/>
    <x v="34"/>
    <x v="14"/>
    <x v="0"/>
  </r>
  <r>
    <x v="263"/>
    <x v="117"/>
    <x v="0"/>
    <x v="5"/>
    <x v="3"/>
    <x v="259"/>
    <x v="6"/>
    <x v="97"/>
    <x v="71"/>
    <x v="40"/>
    <x v="0"/>
  </r>
  <r>
    <x v="264"/>
    <x v="106"/>
    <x v="1"/>
    <x v="4"/>
    <x v="1"/>
    <x v="260"/>
    <x v="2"/>
    <x v="47"/>
    <x v="93"/>
    <x v="41"/>
    <x v="0"/>
  </r>
  <r>
    <x v="265"/>
    <x v="138"/>
    <x v="1"/>
    <x v="4"/>
    <x v="1"/>
    <x v="261"/>
    <x v="4"/>
    <x v="81"/>
    <x v="3"/>
    <x v="12"/>
    <x v="1"/>
  </r>
  <r>
    <x v="266"/>
    <x v="67"/>
    <x v="0"/>
    <x v="4"/>
    <x v="4"/>
    <x v="262"/>
    <x v="0"/>
    <x v="73"/>
    <x v="30"/>
    <x v="3"/>
    <x v="0"/>
  </r>
  <r>
    <x v="267"/>
    <x v="196"/>
    <x v="1"/>
    <x v="6"/>
    <x v="3"/>
    <x v="263"/>
    <x v="0"/>
    <x v="98"/>
    <x v="17"/>
    <x v="42"/>
    <x v="0"/>
  </r>
  <r>
    <x v="268"/>
    <x v="35"/>
    <x v="1"/>
    <x v="4"/>
    <x v="3"/>
    <x v="264"/>
    <x v="5"/>
    <x v="78"/>
    <x v="14"/>
    <x v="6"/>
    <x v="0"/>
  </r>
  <r>
    <x v="269"/>
    <x v="197"/>
    <x v="0"/>
    <x v="1"/>
    <x v="4"/>
    <x v="265"/>
    <x v="1"/>
    <x v="9"/>
    <x v="16"/>
    <x v="18"/>
    <x v="0"/>
  </r>
  <r>
    <x v="270"/>
    <x v="198"/>
    <x v="0"/>
    <x v="4"/>
    <x v="1"/>
    <x v="266"/>
    <x v="8"/>
    <x v="96"/>
    <x v="3"/>
    <x v="5"/>
    <x v="0"/>
  </r>
  <r>
    <x v="271"/>
    <x v="32"/>
    <x v="1"/>
    <x v="5"/>
    <x v="3"/>
    <x v="267"/>
    <x v="9"/>
    <x v="99"/>
    <x v="13"/>
    <x v="26"/>
    <x v="0"/>
  </r>
  <r>
    <x v="272"/>
    <x v="199"/>
    <x v="1"/>
    <x v="4"/>
    <x v="3"/>
    <x v="268"/>
    <x v="8"/>
    <x v="96"/>
    <x v="55"/>
    <x v="32"/>
    <x v="0"/>
  </r>
  <r>
    <x v="273"/>
    <x v="147"/>
    <x v="1"/>
    <x v="3"/>
    <x v="4"/>
    <x v="134"/>
    <x v="6"/>
    <x v="79"/>
    <x v="37"/>
    <x v="32"/>
    <x v="0"/>
  </r>
  <r>
    <x v="274"/>
    <x v="200"/>
    <x v="1"/>
    <x v="7"/>
    <x v="4"/>
    <x v="269"/>
    <x v="10"/>
    <x v="24"/>
    <x v="30"/>
    <x v="12"/>
    <x v="0"/>
  </r>
  <r>
    <x v="275"/>
    <x v="201"/>
    <x v="0"/>
    <x v="4"/>
    <x v="4"/>
    <x v="270"/>
    <x v="4"/>
    <x v="45"/>
    <x v="51"/>
    <x v="43"/>
    <x v="0"/>
  </r>
  <r>
    <x v="276"/>
    <x v="63"/>
    <x v="0"/>
    <x v="1"/>
    <x v="4"/>
    <x v="271"/>
    <x v="7"/>
    <x v="75"/>
    <x v="73"/>
    <x v="47"/>
    <x v="0"/>
  </r>
  <r>
    <x v="277"/>
    <x v="202"/>
    <x v="1"/>
    <x v="7"/>
    <x v="3"/>
    <x v="272"/>
    <x v="5"/>
    <x v="53"/>
    <x v="39"/>
    <x v="12"/>
    <x v="0"/>
  </r>
  <r>
    <x v="278"/>
    <x v="203"/>
    <x v="0"/>
    <x v="5"/>
    <x v="1"/>
    <x v="273"/>
    <x v="8"/>
    <x v="100"/>
    <x v="81"/>
    <x v="8"/>
    <x v="0"/>
  </r>
  <r>
    <x v="279"/>
    <x v="204"/>
    <x v="1"/>
    <x v="7"/>
    <x v="2"/>
    <x v="274"/>
    <x v="7"/>
    <x v="72"/>
    <x v="23"/>
    <x v="4"/>
    <x v="0"/>
  </r>
  <r>
    <x v="280"/>
    <x v="83"/>
    <x v="1"/>
    <x v="2"/>
    <x v="1"/>
    <x v="250"/>
    <x v="5"/>
    <x v="30"/>
    <x v="66"/>
    <x v="5"/>
    <x v="0"/>
  </r>
  <r>
    <x v="281"/>
    <x v="69"/>
    <x v="1"/>
    <x v="6"/>
    <x v="0"/>
    <x v="275"/>
    <x v="3"/>
    <x v="64"/>
    <x v="30"/>
    <x v="40"/>
    <x v="0"/>
  </r>
  <r>
    <x v="282"/>
    <x v="205"/>
    <x v="0"/>
    <x v="1"/>
    <x v="4"/>
    <x v="276"/>
    <x v="1"/>
    <x v="93"/>
    <x v="27"/>
    <x v="44"/>
    <x v="0"/>
  </r>
  <r>
    <x v="283"/>
    <x v="123"/>
    <x v="0"/>
    <x v="5"/>
    <x v="4"/>
    <x v="277"/>
    <x v="6"/>
    <x v="8"/>
    <x v="83"/>
    <x v="21"/>
    <x v="0"/>
  </r>
  <r>
    <x v="284"/>
    <x v="206"/>
    <x v="1"/>
    <x v="7"/>
    <x v="4"/>
    <x v="278"/>
    <x v="0"/>
    <x v="74"/>
    <x v="9"/>
    <x v="7"/>
    <x v="0"/>
  </r>
  <r>
    <x v="285"/>
    <x v="207"/>
    <x v="0"/>
    <x v="5"/>
    <x v="0"/>
    <x v="279"/>
    <x v="10"/>
    <x v="29"/>
    <x v="20"/>
    <x v="22"/>
    <x v="0"/>
  </r>
  <r>
    <x v="286"/>
    <x v="208"/>
    <x v="0"/>
    <x v="5"/>
    <x v="1"/>
    <x v="280"/>
    <x v="6"/>
    <x v="16"/>
    <x v="29"/>
    <x v="6"/>
    <x v="0"/>
  </r>
  <r>
    <x v="287"/>
    <x v="209"/>
    <x v="1"/>
    <x v="1"/>
    <x v="4"/>
    <x v="281"/>
    <x v="7"/>
    <x v="83"/>
    <x v="60"/>
    <x v="33"/>
    <x v="0"/>
  </r>
  <r>
    <x v="288"/>
    <x v="81"/>
    <x v="1"/>
    <x v="1"/>
    <x v="2"/>
    <x v="282"/>
    <x v="6"/>
    <x v="76"/>
    <x v="46"/>
    <x v="35"/>
    <x v="0"/>
  </r>
  <r>
    <x v="289"/>
    <x v="210"/>
    <x v="0"/>
    <x v="6"/>
    <x v="4"/>
    <x v="283"/>
    <x v="5"/>
    <x v="89"/>
    <x v="5"/>
    <x v="50"/>
    <x v="0"/>
  </r>
  <r>
    <x v="290"/>
    <x v="144"/>
    <x v="1"/>
    <x v="4"/>
    <x v="4"/>
    <x v="284"/>
    <x v="5"/>
    <x v="86"/>
    <x v="45"/>
    <x v="39"/>
    <x v="0"/>
  </r>
  <r>
    <x v="291"/>
    <x v="125"/>
    <x v="0"/>
    <x v="3"/>
    <x v="4"/>
    <x v="285"/>
    <x v="2"/>
    <x v="57"/>
    <x v="34"/>
    <x v="20"/>
    <x v="0"/>
  </r>
  <r>
    <x v="292"/>
    <x v="177"/>
    <x v="0"/>
    <x v="3"/>
    <x v="2"/>
    <x v="286"/>
    <x v="1"/>
    <x v="101"/>
    <x v="22"/>
    <x v="48"/>
    <x v="0"/>
  </r>
  <r>
    <x v="293"/>
    <x v="211"/>
    <x v="1"/>
    <x v="4"/>
    <x v="2"/>
    <x v="287"/>
    <x v="3"/>
    <x v="41"/>
    <x v="30"/>
    <x v="27"/>
    <x v="0"/>
  </r>
  <r>
    <x v="294"/>
    <x v="212"/>
    <x v="0"/>
    <x v="6"/>
    <x v="3"/>
    <x v="288"/>
    <x v="1"/>
    <x v="93"/>
    <x v="47"/>
    <x v="9"/>
    <x v="0"/>
  </r>
  <r>
    <x v="295"/>
    <x v="213"/>
    <x v="0"/>
    <x v="2"/>
    <x v="4"/>
    <x v="289"/>
    <x v="10"/>
    <x v="24"/>
    <x v="91"/>
    <x v="49"/>
    <x v="0"/>
  </r>
  <r>
    <x v="296"/>
    <x v="214"/>
    <x v="1"/>
    <x v="7"/>
    <x v="2"/>
    <x v="290"/>
    <x v="6"/>
    <x v="59"/>
    <x v="19"/>
    <x v="11"/>
    <x v="0"/>
  </r>
  <r>
    <x v="297"/>
    <x v="215"/>
    <x v="1"/>
    <x v="1"/>
    <x v="4"/>
    <x v="291"/>
    <x v="1"/>
    <x v="13"/>
    <x v="61"/>
    <x v="9"/>
    <x v="0"/>
  </r>
  <r>
    <x v="298"/>
    <x v="95"/>
    <x v="1"/>
    <x v="6"/>
    <x v="3"/>
    <x v="292"/>
    <x v="9"/>
    <x v="61"/>
    <x v="10"/>
    <x v="38"/>
    <x v="0"/>
  </r>
  <r>
    <x v="299"/>
    <x v="112"/>
    <x v="1"/>
    <x v="7"/>
    <x v="2"/>
    <x v="19"/>
    <x v="6"/>
    <x v="16"/>
    <x v="29"/>
    <x v="46"/>
    <x v="0"/>
  </r>
  <r>
    <x v="300"/>
    <x v="70"/>
    <x v="0"/>
    <x v="5"/>
    <x v="0"/>
    <x v="293"/>
    <x v="7"/>
    <x v="22"/>
    <x v="88"/>
    <x v="2"/>
    <x v="1"/>
  </r>
  <r>
    <x v="301"/>
    <x v="41"/>
    <x v="1"/>
    <x v="6"/>
    <x v="0"/>
    <x v="294"/>
    <x v="5"/>
    <x v="53"/>
    <x v="64"/>
    <x v="34"/>
    <x v="0"/>
  </r>
  <r>
    <x v="302"/>
    <x v="133"/>
    <x v="1"/>
    <x v="1"/>
    <x v="4"/>
    <x v="295"/>
    <x v="1"/>
    <x v="54"/>
    <x v="61"/>
    <x v="42"/>
    <x v="0"/>
  </r>
  <r>
    <x v="303"/>
    <x v="214"/>
    <x v="1"/>
    <x v="1"/>
    <x v="3"/>
    <x v="296"/>
    <x v="8"/>
    <x v="18"/>
    <x v="83"/>
    <x v="1"/>
    <x v="0"/>
  </r>
  <r>
    <x v="304"/>
    <x v="216"/>
    <x v="0"/>
    <x v="1"/>
    <x v="1"/>
    <x v="297"/>
    <x v="3"/>
    <x v="102"/>
    <x v="39"/>
    <x v="34"/>
    <x v="0"/>
  </r>
  <r>
    <x v="305"/>
    <x v="217"/>
    <x v="1"/>
    <x v="1"/>
    <x v="1"/>
    <x v="298"/>
    <x v="5"/>
    <x v="86"/>
    <x v="54"/>
    <x v="42"/>
    <x v="0"/>
  </r>
  <r>
    <x v="306"/>
    <x v="218"/>
    <x v="0"/>
    <x v="1"/>
    <x v="0"/>
    <x v="299"/>
    <x v="7"/>
    <x v="72"/>
    <x v="5"/>
    <x v="18"/>
    <x v="0"/>
  </r>
  <r>
    <x v="307"/>
    <x v="124"/>
    <x v="1"/>
    <x v="5"/>
    <x v="3"/>
    <x v="300"/>
    <x v="8"/>
    <x v="66"/>
    <x v="45"/>
    <x v="21"/>
    <x v="0"/>
  </r>
  <r>
    <x v="308"/>
    <x v="42"/>
    <x v="1"/>
    <x v="1"/>
    <x v="1"/>
    <x v="301"/>
    <x v="8"/>
    <x v="103"/>
    <x v="59"/>
    <x v="7"/>
    <x v="0"/>
  </r>
  <r>
    <x v="309"/>
    <x v="219"/>
    <x v="1"/>
    <x v="6"/>
    <x v="1"/>
    <x v="302"/>
    <x v="10"/>
    <x v="29"/>
    <x v="7"/>
    <x v="44"/>
    <x v="0"/>
  </r>
  <r>
    <x v="310"/>
    <x v="9"/>
    <x v="0"/>
    <x v="1"/>
    <x v="3"/>
    <x v="303"/>
    <x v="5"/>
    <x v="56"/>
    <x v="54"/>
    <x v="9"/>
    <x v="0"/>
  </r>
  <r>
    <x v="311"/>
    <x v="139"/>
    <x v="0"/>
    <x v="6"/>
    <x v="2"/>
    <x v="304"/>
    <x v="10"/>
    <x v="29"/>
    <x v="49"/>
    <x v="2"/>
    <x v="0"/>
  </r>
  <r>
    <x v="312"/>
    <x v="209"/>
    <x v="1"/>
    <x v="1"/>
    <x v="1"/>
    <x v="305"/>
    <x v="5"/>
    <x v="89"/>
    <x v="94"/>
    <x v="4"/>
    <x v="0"/>
  </r>
  <r>
    <x v="313"/>
    <x v="143"/>
    <x v="1"/>
    <x v="2"/>
    <x v="4"/>
    <x v="306"/>
    <x v="8"/>
    <x v="104"/>
    <x v="50"/>
    <x v="36"/>
    <x v="0"/>
  </r>
  <r>
    <x v="314"/>
    <x v="100"/>
    <x v="1"/>
    <x v="2"/>
    <x v="4"/>
    <x v="307"/>
    <x v="2"/>
    <x v="47"/>
    <x v="1"/>
    <x v="8"/>
    <x v="0"/>
  </r>
  <r>
    <x v="315"/>
    <x v="220"/>
    <x v="0"/>
    <x v="7"/>
    <x v="1"/>
    <x v="308"/>
    <x v="0"/>
    <x v="11"/>
    <x v="20"/>
    <x v="38"/>
    <x v="1"/>
  </r>
  <r>
    <x v="316"/>
    <x v="133"/>
    <x v="1"/>
    <x v="1"/>
    <x v="1"/>
    <x v="309"/>
    <x v="0"/>
    <x v="52"/>
    <x v="95"/>
    <x v="38"/>
    <x v="0"/>
  </r>
  <r>
    <x v="317"/>
    <x v="83"/>
    <x v="1"/>
    <x v="5"/>
    <x v="4"/>
    <x v="310"/>
    <x v="9"/>
    <x v="105"/>
    <x v="29"/>
    <x v="28"/>
    <x v="0"/>
  </r>
  <r>
    <x v="318"/>
    <x v="221"/>
    <x v="0"/>
    <x v="6"/>
    <x v="3"/>
    <x v="311"/>
    <x v="2"/>
    <x v="47"/>
    <x v="29"/>
    <x v="7"/>
    <x v="0"/>
  </r>
  <r>
    <x v="319"/>
    <x v="139"/>
    <x v="1"/>
    <x v="1"/>
    <x v="4"/>
    <x v="312"/>
    <x v="9"/>
    <x v="15"/>
    <x v="74"/>
    <x v="38"/>
    <x v="0"/>
  </r>
  <r>
    <x v="320"/>
    <x v="145"/>
    <x v="1"/>
    <x v="6"/>
    <x v="2"/>
    <x v="313"/>
    <x v="4"/>
    <x v="94"/>
    <x v="44"/>
    <x v="7"/>
    <x v="0"/>
  </r>
  <r>
    <x v="321"/>
    <x v="222"/>
    <x v="0"/>
    <x v="6"/>
    <x v="0"/>
    <x v="314"/>
    <x v="4"/>
    <x v="28"/>
    <x v="73"/>
    <x v="5"/>
    <x v="0"/>
  </r>
  <r>
    <x v="322"/>
    <x v="223"/>
    <x v="1"/>
    <x v="3"/>
    <x v="0"/>
    <x v="315"/>
    <x v="6"/>
    <x v="63"/>
    <x v="59"/>
    <x v="37"/>
    <x v="1"/>
  </r>
  <r>
    <x v="323"/>
    <x v="134"/>
    <x v="1"/>
    <x v="3"/>
    <x v="2"/>
    <x v="316"/>
    <x v="5"/>
    <x v="106"/>
    <x v="20"/>
    <x v="30"/>
    <x v="0"/>
  </r>
  <r>
    <x v="324"/>
    <x v="224"/>
    <x v="0"/>
    <x v="5"/>
    <x v="4"/>
    <x v="127"/>
    <x v="7"/>
    <x v="75"/>
    <x v="88"/>
    <x v="8"/>
    <x v="0"/>
  </r>
  <r>
    <x v="325"/>
    <x v="166"/>
    <x v="1"/>
    <x v="6"/>
    <x v="1"/>
    <x v="317"/>
    <x v="7"/>
    <x v="72"/>
    <x v="16"/>
    <x v="42"/>
    <x v="0"/>
  </r>
  <r>
    <x v="326"/>
    <x v="225"/>
    <x v="1"/>
    <x v="7"/>
    <x v="2"/>
    <x v="318"/>
    <x v="6"/>
    <x v="16"/>
    <x v="45"/>
    <x v="6"/>
    <x v="0"/>
  </r>
  <r>
    <x v="327"/>
    <x v="226"/>
    <x v="1"/>
    <x v="6"/>
    <x v="0"/>
    <x v="319"/>
    <x v="6"/>
    <x v="59"/>
    <x v="47"/>
    <x v="26"/>
    <x v="0"/>
  </r>
  <r>
    <x v="328"/>
    <x v="160"/>
    <x v="1"/>
    <x v="2"/>
    <x v="4"/>
    <x v="320"/>
    <x v="9"/>
    <x v="21"/>
    <x v="31"/>
    <x v="28"/>
    <x v="1"/>
  </r>
  <r>
    <x v="329"/>
    <x v="227"/>
    <x v="0"/>
    <x v="1"/>
    <x v="1"/>
    <x v="321"/>
    <x v="9"/>
    <x v="82"/>
    <x v="96"/>
    <x v="27"/>
    <x v="0"/>
  </r>
  <r>
    <x v="330"/>
    <x v="33"/>
    <x v="1"/>
    <x v="1"/>
    <x v="2"/>
    <x v="322"/>
    <x v="8"/>
    <x v="103"/>
    <x v="56"/>
    <x v="5"/>
    <x v="0"/>
  </r>
  <r>
    <x v="331"/>
    <x v="228"/>
    <x v="1"/>
    <x v="3"/>
    <x v="0"/>
    <x v="323"/>
    <x v="1"/>
    <x v="101"/>
    <x v="19"/>
    <x v="9"/>
    <x v="0"/>
  </r>
  <r>
    <x v="332"/>
    <x v="229"/>
    <x v="0"/>
    <x v="6"/>
    <x v="4"/>
    <x v="324"/>
    <x v="4"/>
    <x v="6"/>
    <x v="91"/>
    <x v="49"/>
    <x v="0"/>
  </r>
  <r>
    <x v="333"/>
    <x v="224"/>
    <x v="0"/>
    <x v="6"/>
    <x v="4"/>
    <x v="325"/>
    <x v="7"/>
    <x v="75"/>
    <x v="65"/>
    <x v="42"/>
    <x v="0"/>
  </r>
  <r>
    <x v="334"/>
    <x v="230"/>
    <x v="0"/>
    <x v="3"/>
    <x v="0"/>
    <x v="326"/>
    <x v="7"/>
    <x v="20"/>
    <x v="88"/>
    <x v="40"/>
    <x v="0"/>
  </r>
  <r>
    <x v="335"/>
    <x v="231"/>
    <x v="0"/>
    <x v="3"/>
    <x v="2"/>
    <x v="327"/>
    <x v="7"/>
    <x v="70"/>
    <x v="2"/>
    <x v="38"/>
    <x v="0"/>
  </r>
  <r>
    <x v="336"/>
    <x v="232"/>
    <x v="0"/>
    <x v="7"/>
    <x v="2"/>
    <x v="328"/>
    <x v="10"/>
    <x v="35"/>
    <x v="5"/>
    <x v="39"/>
    <x v="0"/>
  </r>
  <r>
    <x v="337"/>
    <x v="233"/>
    <x v="0"/>
    <x v="2"/>
    <x v="4"/>
    <x v="329"/>
    <x v="1"/>
    <x v="54"/>
    <x v="31"/>
    <x v="42"/>
    <x v="0"/>
  </r>
  <r>
    <x v="338"/>
    <x v="234"/>
    <x v="1"/>
    <x v="6"/>
    <x v="3"/>
    <x v="330"/>
    <x v="8"/>
    <x v="38"/>
    <x v="9"/>
    <x v="8"/>
    <x v="0"/>
  </r>
  <r>
    <x v="339"/>
    <x v="235"/>
    <x v="1"/>
    <x v="4"/>
    <x v="3"/>
    <x v="331"/>
    <x v="4"/>
    <x v="81"/>
    <x v="45"/>
    <x v="12"/>
    <x v="0"/>
  </r>
  <r>
    <x v="340"/>
    <x v="236"/>
    <x v="0"/>
    <x v="6"/>
    <x v="1"/>
    <x v="332"/>
    <x v="10"/>
    <x v="84"/>
    <x v="9"/>
    <x v="12"/>
    <x v="0"/>
  </r>
  <r>
    <x v="341"/>
    <x v="83"/>
    <x v="1"/>
    <x v="1"/>
    <x v="2"/>
    <x v="333"/>
    <x v="0"/>
    <x v="67"/>
    <x v="73"/>
    <x v="34"/>
    <x v="0"/>
  </r>
  <r>
    <x v="342"/>
    <x v="37"/>
    <x v="1"/>
    <x v="3"/>
    <x v="4"/>
    <x v="334"/>
    <x v="1"/>
    <x v="93"/>
    <x v="14"/>
    <x v="15"/>
    <x v="0"/>
  </r>
  <r>
    <x v="343"/>
    <x v="147"/>
    <x v="1"/>
    <x v="7"/>
    <x v="3"/>
    <x v="335"/>
    <x v="0"/>
    <x v="90"/>
    <x v="69"/>
    <x v="38"/>
    <x v="0"/>
  </r>
  <r>
    <x v="344"/>
    <x v="80"/>
    <x v="1"/>
    <x v="2"/>
    <x v="1"/>
    <x v="336"/>
    <x v="3"/>
    <x v="41"/>
    <x v="9"/>
    <x v="28"/>
    <x v="0"/>
  </r>
  <r>
    <x v="345"/>
    <x v="237"/>
    <x v="1"/>
    <x v="5"/>
    <x v="0"/>
    <x v="337"/>
    <x v="6"/>
    <x v="58"/>
    <x v="17"/>
    <x v="44"/>
    <x v="0"/>
  </r>
  <r>
    <x v="346"/>
    <x v="238"/>
    <x v="0"/>
    <x v="1"/>
    <x v="4"/>
    <x v="338"/>
    <x v="8"/>
    <x v="100"/>
    <x v="11"/>
    <x v="42"/>
    <x v="0"/>
  </r>
  <r>
    <x v="347"/>
    <x v="212"/>
    <x v="1"/>
    <x v="4"/>
    <x v="1"/>
    <x v="277"/>
    <x v="6"/>
    <x v="8"/>
    <x v="32"/>
    <x v="43"/>
    <x v="0"/>
  </r>
  <r>
    <x v="348"/>
    <x v="239"/>
    <x v="1"/>
    <x v="1"/>
    <x v="1"/>
    <x v="339"/>
    <x v="3"/>
    <x v="42"/>
    <x v="53"/>
    <x v="9"/>
    <x v="0"/>
  </r>
  <r>
    <x v="349"/>
    <x v="132"/>
    <x v="0"/>
    <x v="2"/>
    <x v="0"/>
    <x v="340"/>
    <x v="5"/>
    <x v="7"/>
    <x v="69"/>
    <x v="10"/>
    <x v="0"/>
  </r>
  <r>
    <x v="350"/>
    <x v="240"/>
    <x v="0"/>
    <x v="3"/>
    <x v="0"/>
    <x v="341"/>
    <x v="10"/>
    <x v="35"/>
    <x v="78"/>
    <x v="16"/>
    <x v="0"/>
  </r>
  <r>
    <x v="351"/>
    <x v="241"/>
    <x v="0"/>
    <x v="1"/>
    <x v="1"/>
    <x v="342"/>
    <x v="10"/>
    <x v="48"/>
    <x v="17"/>
    <x v="10"/>
    <x v="0"/>
  </r>
  <r>
    <x v="352"/>
    <x v="147"/>
    <x v="0"/>
    <x v="1"/>
    <x v="4"/>
    <x v="343"/>
    <x v="2"/>
    <x v="2"/>
    <x v="76"/>
    <x v="26"/>
    <x v="0"/>
  </r>
  <r>
    <x v="353"/>
    <x v="64"/>
    <x v="0"/>
    <x v="7"/>
    <x v="4"/>
    <x v="344"/>
    <x v="5"/>
    <x v="80"/>
    <x v="47"/>
    <x v="3"/>
    <x v="1"/>
  </r>
  <r>
    <x v="354"/>
    <x v="242"/>
    <x v="0"/>
    <x v="2"/>
    <x v="1"/>
    <x v="345"/>
    <x v="8"/>
    <x v="103"/>
    <x v="49"/>
    <x v="44"/>
    <x v="0"/>
  </r>
  <r>
    <x v="355"/>
    <x v="243"/>
    <x v="0"/>
    <x v="7"/>
    <x v="2"/>
    <x v="346"/>
    <x v="3"/>
    <x v="41"/>
    <x v="44"/>
    <x v="18"/>
    <x v="0"/>
  </r>
  <r>
    <x v="356"/>
    <x v="244"/>
    <x v="1"/>
    <x v="7"/>
    <x v="0"/>
    <x v="347"/>
    <x v="7"/>
    <x v="22"/>
    <x v="93"/>
    <x v="10"/>
    <x v="0"/>
  </r>
  <r>
    <x v="357"/>
    <x v="55"/>
    <x v="0"/>
    <x v="1"/>
    <x v="4"/>
    <x v="348"/>
    <x v="1"/>
    <x v="54"/>
    <x v="62"/>
    <x v="27"/>
    <x v="0"/>
  </r>
  <r>
    <x v="358"/>
    <x v="245"/>
    <x v="0"/>
    <x v="1"/>
    <x v="3"/>
    <x v="349"/>
    <x v="1"/>
    <x v="101"/>
    <x v="28"/>
    <x v="45"/>
    <x v="0"/>
  </r>
  <r>
    <x v="359"/>
    <x v="246"/>
    <x v="0"/>
    <x v="1"/>
    <x v="1"/>
    <x v="350"/>
    <x v="2"/>
    <x v="36"/>
    <x v="22"/>
    <x v="14"/>
    <x v="1"/>
  </r>
  <r>
    <x v="360"/>
    <x v="247"/>
    <x v="1"/>
    <x v="7"/>
    <x v="4"/>
    <x v="351"/>
    <x v="7"/>
    <x v="83"/>
    <x v="5"/>
    <x v="40"/>
    <x v="0"/>
  </r>
  <r>
    <x v="361"/>
    <x v="36"/>
    <x v="0"/>
    <x v="6"/>
    <x v="4"/>
    <x v="352"/>
    <x v="5"/>
    <x v="87"/>
    <x v="41"/>
    <x v="16"/>
    <x v="0"/>
  </r>
  <r>
    <x v="362"/>
    <x v="123"/>
    <x v="1"/>
    <x v="7"/>
    <x v="2"/>
    <x v="167"/>
    <x v="6"/>
    <x v="37"/>
    <x v="34"/>
    <x v="16"/>
    <x v="1"/>
  </r>
  <r>
    <x v="363"/>
    <x v="248"/>
    <x v="0"/>
    <x v="1"/>
    <x v="4"/>
    <x v="353"/>
    <x v="9"/>
    <x v="82"/>
    <x v="76"/>
    <x v="30"/>
    <x v="0"/>
  </r>
  <r>
    <x v="364"/>
    <x v="13"/>
    <x v="1"/>
    <x v="7"/>
    <x v="0"/>
    <x v="354"/>
    <x v="2"/>
    <x v="107"/>
    <x v="32"/>
    <x v="44"/>
    <x v="1"/>
  </r>
  <r>
    <x v="365"/>
    <x v="192"/>
    <x v="1"/>
    <x v="1"/>
    <x v="2"/>
    <x v="355"/>
    <x v="3"/>
    <x v="102"/>
    <x v="26"/>
    <x v="28"/>
    <x v="0"/>
  </r>
  <r>
    <x v="366"/>
    <x v="98"/>
    <x v="0"/>
    <x v="3"/>
    <x v="4"/>
    <x v="356"/>
    <x v="5"/>
    <x v="30"/>
    <x v="85"/>
    <x v="21"/>
    <x v="0"/>
  </r>
  <r>
    <x v="367"/>
    <x v="177"/>
    <x v="0"/>
    <x v="2"/>
    <x v="1"/>
    <x v="357"/>
    <x v="5"/>
    <x v="89"/>
    <x v="1"/>
    <x v="21"/>
    <x v="1"/>
  </r>
  <r>
    <x v="368"/>
    <x v="197"/>
    <x v="0"/>
    <x v="2"/>
    <x v="0"/>
    <x v="358"/>
    <x v="10"/>
    <x v="35"/>
    <x v="44"/>
    <x v="9"/>
    <x v="0"/>
  </r>
  <r>
    <x v="369"/>
    <x v="212"/>
    <x v="0"/>
    <x v="1"/>
    <x v="2"/>
    <x v="359"/>
    <x v="0"/>
    <x v="73"/>
    <x v="42"/>
    <x v="14"/>
    <x v="0"/>
  </r>
  <r>
    <x v="370"/>
    <x v="249"/>
    <x v="1"/>
    <x v="4"/>
    <x v="1"/>
    <x v="360"/>
    <x v="10"/>
    <x v="60"/>
    <x v="97"/>
    <x v="12"/>
    <x v="0"/>
  </r>
  <r>
    <x v="371"/>
    <x v="250"/>
    <x v="0"/>
    <x v="5"/>
    <x v="3"/>
    <x v="361"/>
    <x v="8"/>
    <x v="12"/>
    <x v="90"/>
    <x v="44"/>
    <x v="0"/>
  </r>
  <r>
    <x v="372"/>
    <x v="251"/>
    <x v="1"/>
    <x v="5"/>
    <x v="1"/>
    <x v="362"/>
    <x v="2"/>
    <x v="47"/>
    <x v="15"/>
    <x v="3"/>
    <x v="0"/>
  </r>
  <r>
    <x v="373"/>
    <x v="252"/>
    <x v="1"/>
    <x v="6"/>
    <x v="1"/>
    <x v="363"/>
    <x v="8"/>
    <x v="103"/>
    <x v="52"/>
    <x v="39"/>
    <x v="1"/>
  </r>
  <r>
    <x v="374"/>
    <x v="253"/>
    <x v="0"/>
    <x v="5"/>
    <x v="1"/>
    <x v="2"/>
    <x v="2"/>
    <x v="2"/>
    <x v="71"/>
    <x v="15"/>
    <x v="0"/>
  </r>
  <r>
    <x v="375"/>
    <x v="254"/>
    <x v="0"/>
    <x v="7"/>
    <x v="1"/>
    <x v="364"/>
    <x v="0"/>
    <x v="74"/>
    <x v="16"/>
    <x v="8"/>
    <x v="0"/>
  </r>
  <r>
    <x v="376"/>
    <x v="24"/>
    <x v="0"/>
    <x v="4"/>
    <x v="3"/>
    <x v="365"/>
    <x v="4"/>
    <x v="45"/>
    <x v="16"/>
    <x v="40"/>
    <x v="0"/>
  </r>
  <r>
    <x v="377"/>
    <x v="37"/>
    <x v="1"/>
    <x v="3"/>
    <x v="2"/>
    <x v="366"/>
    <x v="1"/>
    <x v="93"/>
    <x v="22"/>
    <x v="39"/>
    <x v="0"/>
  </r>
  <r>
    <x v="378"/>
    <x v="30"/>
    <x v="1"/>
    <x v="2"/>
    <x v="4"/>
    <x v="367"/>
    <x v="8"/>
    <x v="103"/>
    <x v="51"/>
    <x v="33"/>
    <x v="0"/>
  </r>
  <r>
    <x v="379"/>
    <x v="228"/>
    <x v="1"/>
    <x v="7"/>
    <x v="1"/>
    <x v="368"/>
    <x v="3"/>
    <x v="102"/>
    <x v="64"/>
    <x v="7"/>
    <x v="0"/>
  </r>
  <r>
    <x v="380"/>
    <x v="255"/>
    <x v="0"/>
    <x v="5"/>
    <x v="0"/>
    <x v="369"/>
    <x v="4"/>
    <x v="27"/>
    <x v="19"/>
    <x v="21"/>
    <x v="0"/>
  </r>
  <r>
    <x v="381"/>
    <x v="256"/>
    <x v="1"/>
    <x v="3"/>
    <x v="4"/>
    <x v="370"/>
    <x v="10"/>
    <x v="24"/>
    <x v="2"/>
    <x v="39"/>
    <x v="0"/>
  </r>
  <r>
    <x v="382"/>
    <x v="135"/>
    <x v="1"/>
    <x v="7"/>
    <x v="0"/>
    <x v="371"/>
    <x v="10"/>
    <x v="50"/>
    <x v="21"/>
    <x v="36"/>
    <x v="1"/>
  </r>
  <r>
    <x v="383"/>
    <x v="207"/>
    <x v="1"/>
    <x v="7"/>
    <x v="1"/>
    <x v="372"/>
    <x v="4"/>
    <x v="91"/>
    <x v="44"/>
    <x v="15"/>
    <x v="1"/>
  </r>
  <r>
    <x v="384"/>
    <x v="257"/>
    <x v="1"/>
    <x v="2"/>
    <x v="0"/>
    <x v="373"/>
    <x v="4"/>
    <x v="27"/>
    <x v="22"/>
    <x v="39"/>
    <x v="0"/>
  </r>
  <r>
    <x v="385"/>
    <x v="29"/>
    <x v="0"/>
    <x v="5"/>
    <x v="1"/>
    <x v="374"/>
    <x v="6"/>
    <x v="58"/>
    <x v="21"/>
    <x v="39"/>
    <x v="0"/>
  </r>
  <r>
    <x v="386"/>
    <x v="258"/>
    <x v="1"/>
    <x v="1"/>
    <x v="3"/>
    <x v="375"/>
    <x v="5"/>
    <x v="87"/>
    <x v="82"/>
    <x v="12"/>
    <x v="1"/>
  </r>
  <r>
    <x v="387"/>
    <x v="133"/>
    <x v="1"/>
    <x v="4"/>
    <x v="0"/>
    <x v="376"/>
    <x v="8"/>
    <x v="104"/>
    <x v="23"/>
    <x v="8"/>
    <x v="0"/>
  </r>
  <r>
    <x v="388"/>
    <x v="259"/>
    <x v="1"/>
    <x v="3"/>
    <x v="4"/>
    <x v="377"/>
    <x v="3"/>
    <x v="85"/>
    <x v="68"/>
    <x v="4"/>
    <x v="0"/>
  </r>
  <r>
    <x v="389"/>
    <x v="179"/>
    <x v="0"/>
    <x v="7"/>
    <x v="1"/>
    <x v="247"/>
    <x v="3"/>
    <x v="26"/>
    <x v="79"/>
    <x v="12"/>
    <x v="0"/>
  </r>
  <r>
    <x v="390"/>
    <x v="260"/>
    <x v="1"/>
    <x v="6"/>
    <x v="0"/>
    <x v="378"/>
    <x v="5"/>
    <x v="87"/>
    <x v="83"/>
    <x v="36"/>
    <x v="0"/>
  </r>
  <r>
    <x v="391"/>
    <x v="214"/>
    <x v="0"/>
    <x v="7"/>
    <x v="4"/>
    <x v="379"/>
    <x v="0"/>
    <x v="108"/>
    <x v="59"/>
    <x v="21"/>
    <x v="0"/>
  </r>
  <r>
    <x v="392"/>
    <x v="6"/>
    <x v="1"/>
    <x v="1"/>
    <x v="1"/>
    <x v="380"/>
    <x v="5"/>
    <x v="80"/>
    <x v="1"/>
    <x v="22"/>
    <x v="0"/>
  </r>
  <r>
    <x v="393"/>
    <x v="261"/>
    <x v="1"/>
    <x v="5"/>
    <x v="3"/>
    <x v="381"/>
    <x v="8"/>
    <x v="66"/>
    <x v="19"/>
    <x v="10"/>
    <x v="0"/>
  </r>
  <r>
    <x v="394"/>
    <x v="262"/>
    <x v="0"/>
    <x v="5"/>
    <x v="3"/>
    <x v="285"/>
    <x v="2"/>
    <x v="57"/>
    <x v="66"/>
    <x v="35"/>
    <x v="0"/>
  </r>
  <r>
    <x v="395"/>
    <x v="127"/>
    <x v="1"/>
    <x v="4"/>
    <x v="0"/>
    <x v="382"/>
    <x v="5"/>
    <x v="78"/>
    <x v="8"/>
    <x v="9"/>
    <x v="0"/>
  </r>
  <r>
    <x v="396"/>
    <x v="9"/>
    <x v="1"/>
    <x v="1"/>
    <x v="2"/>
    <x v="383"/>
    <x v="8"/>
    <x v="12"/>
    <x v="92"/>
    <x v="5"/>
    <x v="0"/>
  </r>
  <r>
    <x v="397"/>
    <x v="81"/>
    <x v="1"/>
    <x v="1"/>
    <x v="0"/>
    <x v="384"/>
    <x v="2"/>
    <x v="57"/>
    <x v="21"/>
    <x v="28"/>
    <x v="0"/>
  </r>
  <r>
    <x v="398"/>
    <x v="191"/>
    <x v="0"/>
    <x v="1"/>
    <x v="3"/>
    <x v="385"/>
    <x v="5"/>
    <x v="87"/>
    <x v="30"/>
    <x v="16"/>
    <x v="0"/>
  </r>
  <r>
    <x v="399"/>
    <x v="1"/>
    <x v="1"/>
    <x v="1"/>
    <x v="2"/>
    <x v="386"/>
    <x v="4"/>
    <x v="45"/>
    <x v="71"/>
    <x v="18"/>
    <x v="0"/>
  </r>
  <r>
    <x v="400"/>
    <x v="144"/>
    <x v="1"/>
    <x v="7"/>
    <x v="4"/>
    <x v="387"/>
    <x v="1"/>
    <x v="93"/>
    <x v="4"/>
    <x v="12"/>
    <x v="1"/>
  </r>
  <r>
    <x v="401"/>
    <x v="12"/>
    <x v="1"/>
    <x v="4"/>
    <x v="4"/>
    <x v="388"/>
    <x v="4"/>
    <x v="91"/>
    <x v="16"/>
    <x v="35"/>
    <x v="1"/>
  </r>
  <r>
    <x v="402"/>
    <x v="263"/>
    <x v="1"/>
    <x v="2"/>
    <x v="0"/>
    <x v="389"/>
    <x v="3"/>
    <x v="42"/>
    <x v="16"/>
    <x v="14"/>
    <x v="1"/>
  </r>
  <r>
    <x v="403"/>
    <x v="61"/>
    <x v="1"/>
    <x v="4"/>
    <x v="0"/>
    <x v="390"/>
    <x v="1"/>
    <x v="1"/>
    <x v="13"/>
    <x v="6"/>
    <x v="1"/>
  </r>
  <r>
    <x v="404"/>
    <x v="264"/>
    <x v="0"/>
    <x v="1"/>
    <x v="4"/>
    <x v="391"/>
    <x v="3"/>
    <x v="31"/>
    <x v="62"/>
    <x v="8"/>
    <x v="0"/>
  </r>
  <r>
    <x v="405"/>
    <x v="135"/>
    <x v="0"/>
    <x v="7"/>
    <x v="2"/>
    <x v="392"/>
    <x v="3"/>
    <x v="31"/>
    <x v="77"/>
    <x v="19"/>
    <x v="0"/>
  </r>
  <r>
    <x v="406"/>
    <x v="197"/>
    <x v="0"/>
    <x v="1"/>
    <x v="1"/>
    <x v="393"/>
    <x v="4"/>
    <x v="94"/>
    <x v="4"/>
    <x v="30"/>
    <x v="0"/>
  </r>
  <r>
    <x v="407"/>
    <x v="43"/>
    <x v="0"/>
    <x v="2"/>
    <x v="1"/>
    <x v="66"/>
    <x v="1"/>
    <x v="4"/>
    <x v="17"/>
    <x v="34"/>
    <x v="0"/>
  </r>
  <r>
    <x v="408"/>
    <x v="265"/>
    <x v="1"/>
    <x v="2"/>
    <x v="2"/>
    <x v="394"/>
    <x v="5"/>
    <x v="7"/>
    <x v="2"/>
    <x v="31"/>
    <x v="0"/>
  </r>
  <r>
    <x v="409"/>
    <x v="189"/>
    <x v="0"/>
    <x v="4"/>
    <x v="0"/>
    <x v="395"/>
    <x v="4"/>
    <x v="91"/>
    <x v="51"/>
    <x v="18"/>
    <x v="0"/>
  </r>
  <r>
    <x v="410"/>
    <x v="4"/>
    <x v="0"/>
    <x v="6"/>
    <x v="3"/>
    <x v="229"/>
    <x v="8"/>
    <x v="38"/>
    <x v="35"/>
    <x v="2"/>
    <x v="0"/>
  </r>
  <r>
    <x v="411"/>
    <x v="86"/>
    <x v="1"/>
    <x v="1"/>
    <x v="0"/>
    <x v="396"/>
    <x v="5"/>
    <x v="53"/>
    <x v="36"/>
    <x v="45"/>
    <x v="0"/>
  </r>
  <r>
    <x v="412"/>
    <x v="266"/>
    <x v="1"/>
    <x v="6"/>
    <x v="0"/>
    <x v="397"/>
    <x v="7"/>
    <x v="72"/>
    <x v="45"/>
    <x v="10"/>
    <x v="0"/>
  </r>
  <r>
    <x v="413"/>
    <x v="49"/>
    <x v="0"/>
    <x v="6"/>
    <x v="4"/>
    <x v="398"/>
    <x v="1"/>
    <x v="1"/>
    <x v="35"/>
    <x v="16"/>
    <x v="0"/>
  </r>
  <r>
    <x v="414"/>
    <x v="109"/>
    <x v="0"/>
    <x v="7"/>
    <x v="3"/>
    <x v="399"/>
    <x v="9"/>
    <x v="15"/>
    <x v="13"/>
    <x v="16"/>
    <x v="0"/>
  </r>
  <r>
    <x v="415"/>
    <x v="159"/>
    <x v="1"/>
    <x v="2"/>
    <x v="0"/>
    <x v="400"/>
    <x v="10"/>
    <x v="43"/>
    <x v="17"/>
    <x v="36"/>
    <x v="0"/>
  </r>
  <r>
    <x v="416"/>
    <x v="155"/>
    <x v="1"/>
    <x v="3"/>
    <x v="1"/>
    <x v="401"/>
    <x v="10"/>
    <x v="50"/>
    <x v="21"/>
    <x v="28"/>
    <x v="0"/>
  </r>
  <r>
    <x v="417"/>
    <x v="159"/>
    <x v="0"/>
    <x v="3"/>
    <x v="4"/>
    <x v="402"/>
    <x v="8"/>
    <x v="103"/>
    <x v="53"/>
    <x v="44"/>
    <x v="0"/>
  </r>
  <r>
    <x v="418"/>
    <x v="267"/>
    <x v="0"/>
    <x v="5"/>
    <x v="1"/>
    <x v="403"/>
    <x v="1"/>
    <x v="9"/>
    <x v="83"/>
    <x v="35"/>
    <x v="1"/>
  </r>
  <r>
    <x v="419"/>
    <x v="268"/>
    <x v="1"/>
    <x v="3"/>
    <x v="3"/>
    <x v="404"/>
    <x v="2"/>
    <x v="109"/>
    <x v="6"/>
    <x v="21"/>
    <x v="0"/>
  </r>
  <r>
    <x v="420"/>
    <x v="102"/>
    <x v="0"/>
    <x v="3"/>
    <x v="3"/>
    <x v="405"/>
    <x v="4"/>
    <x v="6"/>
    <x v="68"/>
    <x v="8"/>
    <x v="0"/>
  </r>
  <r>
    <x v="421"/>
    <x v="269"/>
    <x v="1"/>
    <x v="7"/>
    <x v="2"/>
    <x v="406"/>
    <x v="5"/>
    <x v="89"/>
    <x v="3"/>
    <x v="12"/>
    <x v="1"/>
  </r>
  <r>
    <x v="422"/>
    <x v="125"/>
    <x v="0"/>
    <x v="2"/>
    <x v="4"/>
    <x v="407"/>
    <x v="10"/>
    <x v="35"/>
    <x v="93"/>
    <x v="24"/>
    <x v="0"/>
  </r>
  <r>
    <x v="423"/>
    <x v="270"/>
    <x v="1"/>
    <x v="1"/>
    <x v="4"/>
    <x v="408"/>
    <x v="1"/>
    <x v="93"/>
    <x v="74"/>
    <x v="2"/>
    <x v="1"/>
  </r>
  <r>
    <x v="424"/>
    <x v="271"/>
    <x v="0"/>
    <x v="5"/>
    <x v="3"/>
    <x v="409"/>
    <x v="10"/>
    <x v="48"/>
    <x v="71"/>
    <x v="40"/>
    <x v="0"/>
  </r>
  <r>
    <x v="425"/>
    <x v="88"/>
    <x v="1"/>
    <x v="6"/>
    <x v="0"/>
    <x v="410"/>
    <x v="1"/>
    <x v="13"/>
    <x v="9"/>
    <x v="43"/>
    <x v="0"/>
  </r>
  <r>
    <x v="426"/>
    <x v="272"/>
    <x v="0"/>
    <x v="7"/>
    <x v="0"/>
    <x v="18"/>
    <x v="9"/>
    <x v="15"/>
    <x v="68"/>
    <x v="8"/>
    <x v="0"/>
  </r>
  <r>
    <x v="427"/>
    <x v="51"/>
    <x v="1"/>
    <x v="5"/>
    <x v="3"/>
    <x v="411"/>
    <x v="6"/>
    <x v="37"/>
    <x v="75"/>
    <x v="40"/>
    <x v="1"/>
  </r>
  <r>
    <x v="428"/>
    <x v="10"/>
    <x v="0"/>
    <x v="4"/>
    <x v="4"/>
    <x v="412"/>
    <x v="10"/>
    <x v="60"/>
    <x v="13"/>
    <x v="40"/>
    <x v="0"/>
  </r>
  <r>
    <x v="429"/>
    <x v="273"/>
    <x v="0"/>
    <x v="4"/>
    <x v="1"/>
    <x v="62"/>
    <x v="9"/>
    <x v="21"/>
    <x v="20"/>
    <x v="30"/>
    <x v="0"/>
  </r>
  <r>
    <x v="430"/>
    <x v="274"/>
    <x v="1"/>
    <x v="2"/>
    <x v="0"/>
    <x v="413"/>
    <x v="3"/>
    <x v="42"/>
    <x v="11"/>
    <x v="38"/>
    <x v="0"/>
  </r>
  <r>
    <x v="431"/>
    <x v="250"/>
    <x v="0"/>
    <x v="5"/>
    <x v="0"/>
    <x v="414"/>
    <x v="2"/>
    <x v="57"/>
    <x v="1"/>
    <x v="30"/>
    <x v="0"/>
  </r>
  <r>
    <x v="432"/>
    <x v="128"/>
    <x v="0"/>
    <x v="7"/>
    <x v="1"/>
    <x v="415"/>
    <x v="10"/>
    <x v="60"/>
    <x v="43"/>
    <x v="38"/>
    <x v="0"/>
  </r>
  <r>
    <x v="433"/>
    <x v="275"/>
    <x v="0"/>
    <x v="2"/>
    <x v="4"/>
    <x v="416"/>
    <x v="8"/>
    <x v="100"/>
    <x v="59"/>
    <x v="40"/>
    <x v="0"/>
  </r>
  <r>
    <x v="434"/>
    <x v="196"/>
    <x v="1"/>
    <x v="5"/>
    <x v="1"/>
    <x v="417"/>
    <x v="10"/>
    <x v="50"/>
    <x v="63"/>
    <x v="8"/>
    <x v="0"/>
  </r>
  <r>
    <x v="435"/>
    <x v="276"/>
    <x v="0"/>
    <x v="7"/>
    <x v="2"/>
    <x v="418"/>
    <x v="3"/>
    <x v="102"/>
    <x v="7"/>
    <x v="33"/>
    <x v="0"/>
  </r>
  <r>
    <x v="436"/>
    <x v="277"/>
    <x v="0"/>
    <x v="7"/>
    <x v="4"/>
    <x v="343"/>
    <x v="2"/>
    <x v="2"/>
    <x v="30"/>
    <x v="9"/>
    <x v="0"/>
  </r>
  <r>
    <x v="437"/>
    <x v="278"/>
    <x v="1"/>
    <x v="5"/>
    <x v="4"/>
    <x v="419"/>
    <x v="5"/>
    <x v="80"/>
    <x v="64"/>
    <x v="25"/>
    <x v="0"/>
  </r>
  <r>
    <x v="438"/>
    <x v="224"/>
    <x v="1"/>
    <x v="1"/>
    <x v="3"/>
    <x v="420"/>
    <x v="8"/>
    <x v="103"/>
    <x v="43"/>
    <x v="37"/>
    <x v="0"/>
  </r>
  <r>
    <x v="439"/>
    <x v="221"/>
    <x v="0"/>
    <x v="6"/>
    <x v="1"/>
    <x v="421"/>
    <x v="3"/>
    <x v="40"/>
    <x v="77"/>
    <x v="28"/>
    <x v="0"/>
  </r>
  <r>
    <x v="440"/>
    <x v="109"/>
    <x v="1"/>
    <x v="2"/>
    <x v="1"/>
    <x v="422"/>
    <x v="2"/>
    <x v="57"/>
    <x v="41"/>
    <x v="21"/>
    <x v="0"/>
  </r>
  <r>
    <x v="441"/>
    <x v="51"/>
    <x v="1"/>
    <x v="4"/>
    <x v="1"/>
    <x v="423"/>
    <x v="0"/>
    <x v="74"/>
    <x v="87"/>
    <x v="37"/>
    <x v="0"/>
  </r>
  <r>
    <x v="442"/>
    <x v="279"/>
    <x v="0"/>
    <x v="7"/>
    <x v="2"/>
    <x v="424"/>
    <x v="6"/>
    <x v="63"/>
    <x v="37"/>
    <x v="15"/>
    <x v="0"/>
  </r>
  <r>
    <x v="443"/>
    <x v="58"/>
    <x v="0"/>
    <x v="5"/>
    <x v="0"/>
    <x v="425"/>
    <x v="4"/>
    <x v="19"/>
    <x v="23"/>
    <x v="21"/>
    <x v="0"/>
  </r>
  <r>
    <x v="444"/>
    <x v="241"/>
    <x v="1"/>
    <x v="2"/>
    <x v="3"/>
    <x v="426"/>
    <x v="8"/>
    <x v="12"/>
    <x v="63"/>
    <x v="16"/>
    <x v="0"/>
  </r>
  <r>
    <x v="445"/>
    <x v="280"/>
    <x v="1"/>
    <x v="5"/>
    <x v="1"/>
    <x v="427"/>
    <x v="1"/>
    <x v="93"/>
    <x v="51"/>
    <x v="28"/>
    <x v="0"/>
  </r>
  <r>
    <x v="446"/>
    <x v="259"/>
    <x v="0"/>
    <x v="5"/>
    <x v="4"/>
    <x v="428"/>
    <x v="8"/>
    <x v="46"/>
    <x v="16"/>
    <x v="46"/>
    <x v="0"/>
  </r>
  <r>
    <x v="447"/>
    <x v="247"/>
    <x v="1"/>
    <x v="3"/>
    <x v="3"/>
    <x v="429"/>
    <x v="4"/>
    <x v="33"/>
    <x v="74"/>
    <x v="36"/>
    <x v="1"/>
  </r>
  <r>
    <x v="448"/>
    <x v="47"/>
    <x v="1"/>
    <x v="5"/>
    <x v="3"/>
    <x v="154"/>
    <x v="4"/>
    <x v="33"/>
    <x v="88"/>
    <x v="42"/>
    <x v="0"/>
  </r>
  <r>
    <x v="449"/>
    <x v="281"/>
    <x v="1"/>
    <x v="6"/>
    <x v="0"/>
    <x v="430"/>
    <x v="9"/>
    <x v="82"/>
    <x v="22"/>
    <x v="12"/>
    <x v="0"/>
  </r>
  <r>
    <x v="450"/>
    <x v="219"/>
    <x v="0"/>
    <x v="1"/>
    <x v="2"/>
    <x v="431"/>
    <x v="0"/>
    <x v="108"/>
    <x v="73"/>
    <x v="35"/>
    <x v="0"/>
  </r>
  <r>
    <x v="451"/>
    <x v="55"/>
    <x v="1"/>
    <x v="1"/>
    <x v="4"/>
    <x v="432"/>
    <x v="0"/>
    <x v="98"/>
    <x v="43"/>
    <x v="7"/>
    <x v="1"/>
  </r>
  <r>
    <x v="452"/>
    <x v="69"/>
    <x v="1"/>
    <x v="2"/>
    <x v="0"/>
    <x v="433"/>
    <x v="2"/>
    <x v="2"/>
    <x v="52"/>
    <x v="39"/>
    <x v="0"/>
  </r>
  <r>
    <x v="453"/>
    <x v="171"/>
    <x v="0"/>
    <x v="2"/>
    <x v="0"/>
    <x v="132"/>
    <x v="10"/>
    <x v="60"/>
    <x v="14"/>
    <x v="41"/>
    <x v="0"/>
  </r>
  <r>
    <x v="454"/>
    <x v="282"/>
    <x v="1"/>
    <x v="2"/>
    <x v="4"/>
    <x v="434"/>
    <x v="7"/>
    <x v="51"/>
    <x v="22"/>
    <x v="5"/>
    <x v="0"/>
  </r>
  <r>
    <x v="455"/>
    <x v="44"/>
    <x v="0"/>
    <x v="3"/>
    <x v="1"/>
    <x v="435"/>
    <x v="0"/>
    <x v="98"/>
    <x v="73"/>
    <x v="25"/>
    <x v="0"/>
  </r>
  <r>
    <x v="456"/>
    <x v="283"/>
    <x v="0"/>
    <x v="1"/>
    <x v="1"/>
    <x v="436"/>
    <x v="6"/>
    <x v="97"/>
    <x v="10"/>
    <x v="45"/>
    <x v="0"/>
  </r>
  <r>
    <x v="457"/>
    <x v="284"/>
    <x v="0"/>
    <x v="7"/>
    <x v="4"/>
    <x v="437"/>
    <x v="2"/>
    <x v="49"/>
    <x v="75"/>
    <x v="30"/>
    <x v="0"/>
  </r>
  <r>
    <x v="458"/>
    <x v="285"/>
    <x v="1"/>
    <x v="1"/>
    <x v="1"/>
    <x v="438"/>
    <x v="6"/>
    <x v="79"/>
    <x v="8"/>
    <x v="42"/>
    <x v="0"/>
  </r>
  <r>
    <x v="459"/>
    <x v="91"/>
    <x v="1"/>
    <x v="7"/>
    <x v="1"/>
    <x v="439"/>
    <x v="1"/>
    <x v="1"/>
    <x v="32"/>
    <x v="43"/>
    <x v="0"/>
  </r>
  <r>
    <x v="460"/>
    <x v="96"/>
    <x v="0"/>
    <x v="7"/>
    <x v="1"/>
    <x v="440"/>
    <x v="0"/>
    <x v="68"/>
    <x v="60"/>
    <x v="27"/>
    <x v="0"/>
  </r>
  <r>
    <x v="461"/>
    <x v="286"/>
    <x v="0"/>
    <x v="3"/>
    <x v="0"/>
    <x v="441"/>
    <x v="1"/>
    <x v="4"/>
    <x v="31"/>
    <x v="9"/>
    <x v="1"/>
  </r>
  <r>
    <x v="462"/>
    <x v="65"/>
    <x v="1"/>
    <x v="1"/>
    <x v="2"/>
    <x v="442"/>
    <x v="8"/>
    <x v="18"/>
    <x v="71"/>
    <x v="35"/>
    <x v="0"/>
  </r>
  <r>
    <x v="463"/>
    <x v="18"/>
    <x v="0"/>
    <x v="1"/>
    <x v="2"/>
    <x v="443"/>
    <x v="8"/>
    <x v="18"/>
    <x v="63"/>
    <x v="37"/>
    <x v="0"/>
  </r>
  <r>
    <x v="464"/>
    <x v="51"/>
    <x v="1"/>
    <x v="3"/>
    <x v="0"/>
    <x v="444"/>
    <x v="4"/>
    <x v="91"/>
    <x v="4"/>
    <x v="18"/>
    <x v="0"/>
  </r>
  <r>
    <x v="465"/>
    <x v="287"/>
    <x v="1"/>
    <x v="1"/>
    <x v="2"/>
    <x v="445"/>
    <x v="2"/>
    <x v="10"/>
    <x v="60"/>
    <x v="32"/>
    <x v="0"/>
  </r>
  <r>
    <x v="466"/>
    <x v="288"/>
    <x v="0"/>
    <x v="5"/>
    <x v="3"/>
    <x v="446"/>
    <x v="3"/>
    <x v="102"/>
    <x v="49"/>
    <x v="40"/>
    <x v="0"/>
  </r>
  <r>
    <x v="467"/>
    <x v="289"/>
    <x v="0"/>
    <x v="4"/>
    <x v="1"/>
    <x v="447"/>
    <x v="7"/>
    <x v="22"/>
    <x v="45"/>
    <x v="45"/>
    <x v="0"/>
  </r>
  <r>
    <x v="468"/>
    <x v="290"/>
    <x v="1"/>
    <x v="1"/>
    <x v="0"/>
    <x v="448"/>
    <x v="0"/>
    <x v="98"/>
    <x v="22"/>
    <x v="46"/>
    <x v="0"/>
  </r>
  <r>
    <x v="469"/>
    <x v="71"/>
    <x v="1"/>
    <x v="7"/>
    <x v="0"/>
    <x v="449"/>
    <x v="7"/>
    <x v="0"/>
    <x v="9"/>
    <x v="44"/>
    <x v="0"/>
  </r>
  <r>
    <x v="470"/>
    <x v="291"/>
    <x v="0"/>
    <x v="1"/>
    <x v="1"/>
    <x v="450"/>
    <x v="2"/>
    <x v="10"/>
    <x v="88"/>
    <x v="40"/>
    <x v="0"/>
  </r>
  <r>
    <x v="471"/>
    <x v="93"/>
    <x v="0"/>
    <x v="6"/>
    <x v="4"/>
    <x v="451"/>
    <x v="6"/>
    <x v="79"/>
    <x v="21"/>
    <x v="36"/>
    <x v="0"/>
  </r>
  <r>
    <x v="472"/>
    <x v="292"/>
    <x v="0"/>
    <x v="7"/>
    <x v="4"/>
    <x v="452"/>
    <x v="4"/>
    <x v="33"/>
    <x v="6"/>
    <x v="14"/>
    <x v="0"/>
  </r>
  <r>
    <x v="473"/>
    <x v="293"/>
    <x v="0"/>
    <x v="3"/>
    <x v="4"/>
    <x v="453"/>
    <x v="4"/>
    <x v="6"/>
    <x v="10"/>
    <x v="3"/>
    <x v="0"/>
  </r>
  <r>
    <x v="474"/>
    <x v="275"/>
    <x v="1"/>
    <x v="4"/>
    <x v="0"/>
    <x v="454"/>
    <x v="5"/>
    <x v="7"/>
    <x v="64"/>
    <x v="26"/>
    <x v="0"/>
  </r>
  <r>
    <x v="475"/>
    <x v="139"/>
    <x v="1"/>
    <x v="2"/>
    <x v="0"/>
    <x v="455"/>
    <x v="9"/>
    <x v="61"/>
    <x v="43"/>
    <x v="21"/>
    <x v="0"/>
  </r>
  <r>
    <x v="476"/>
    <x v="206"/>
    <x v="1"/>
    <x v="1"/>
    <x v="1"/>
    <x v="456"/>
    <x v="2"/>
    <x v="36"/>
    <x v="56"/>
    <x v="47"/>
    <x v="0"/>
  </r>
  <r>
    <x v="477"/>
    <x v="294"/>
    <x v="1"/>
    <x v="2"/>
    <x v="4"/>
    <x v="457"/>
    <x v="9"/>
    <x v="65"/>
    <x v="9"/>
    <x v="28"/>
    <x v="0"/>
  </r>
  <r>
    <x v="478"/>
    <x v="80"/>
    <x v="0"/>
    <x v="5"/>
    <x v="1"/>
    <x v="458"/>
    <x v="0"/>
    <x v="67"/>
    <x v="16"/>
    <x v="37"/>
    <x v="0"/>
  </r>
  <r>
    <x v="479"/>
    <x v="3"/>
    <x v="1"/>
    <x v="7"/>
    <x v="1"/>
    <x v="459"/>
    <x v="3"/>
    <x v="3"/>
    <x v="9"/>
    <x v="3"/>
    <x v="0"/>
  </r>
  <r>
    <x v="480"/>
    <x v="295"/>
    <x v="1"/>
    <x v="3"/>
    <x v="0"/>
    <x v="460"/>
    <x v="8"/>
    <x v="38"/>
    <x v="30"/>
    <x v="47"/>
    <x v="0"/>
  </r>
  <r>
    <x v="481"/>
    <x v="14"/>
    <x v="1"/>
    <x v="7"/>
    <x v="0"/>
    <x v="461"/>
    <x v="8"/>
    <x v="95"/>
    <x v="17"/>
    <x v="33"/>
    <x v="0"/>
  </r>
  <r>
    <x v="482"/>
    <x v="37"/>
    <x v="0"/>
    <x v="1"/>
    <x v="1"/>
    <x v="462"/>
    <x v="8"/>
    <x v="104"/>
    <x v="98"/>
    <x v="35"/>
    <x v="0"/>
  </r>
  <r>
    <x v="483"/>
    <x v="121"/>
    <x v="1"/>
    <x v="2"/>
    <x v="4"/>
    <x v="322"/>
    <x v="8"/>
    <x v="103"/>
    <x v="28"/>
    <x v="5"/>
    <x v="0"/>
  </r>
  <r>
    <x v="484"/>
    <x v="201"/>
    <x v="0"/>
    <x v="5"/>
    <x v="4"/>
    <x v="463"/>
    <x v="9"/>
    <x v="88"/>
    <x v="24"/>
    <x v="18"/>
    <x v="0"/>
  </r>
  <r>
    <x v="485"/>
    <x v="270"/>
    <x v="0"/>
    <x v="7"/>
    <x v="4"/>
    <x v="464"/>
    <x v="3"/>
    <x v="40"/>
    <x v="36"/>
    <x v="2"/>
    <x v="1"/>
  </r>
  <r>
    <x v="486"/>
    <x v="42"/>
    <x v="1"/>
    <x v="5"/>
    <x v="1"/>
    <x v="465"/>
    <x v="8"/>
    <x v="103"/>
    <x v="62"/>
    <x v="14"/>
    <x v="0"/>
  </r>
  <r>
    <x v="487"/>
    <x v="42"/>
    <x v="1"/>
    <x v="5"/>
    <x v="4"/>
    <x v="466"/>
    <x v="10"/>
    <x v="84"/>
    <x v="63"/>
    <x v="44"/>
    <x v="0"/>
  </r>
  <r>
    <x v="488"/>
    <x v="164"/>
    <x v="1"/>
    <x v="4"/>
    <x v="4"/>
    <x v="467"/>
    <x v="5"/>
    <x v="87"/>
    <x v="14"/>
    <x v="28"/>
    <x v="0"/>
  </r>
  <r>
    <x v="489"/>
    <x v="296"/>
    <x v="0"/>
    <x v="4"/>
    <x v="0"/>
    <x v="64"/>
    <x v="1"/>
    <x v="9"/>
    <x v="45"/>
    <x v="28"/>
    <x v="0"/>
  </r>
  <r>
    <x v="490"/>
    <x v="297"/>
    <x v="0"/>
    <x v="2"/>
    <x v="4"/>
    <x v="65"/>
    <x v="8"/>
    <x v="46"/>
    <x v="50"/>
    <x v="45"/>
    <x v="0"/>
  </r>
  <r>
    <x v="491"/>
    <x v="233"/>
    <x v="1"/>
    <x v="2"/>
    <x v="0"/>
    <x v="468"/>
    <x v="4"/>
    <x v="33"/>
    <x v="34"/>
    <x v="1"/>
    <x v="0"/>
  </r>
  <r>
    <x v="492"/>
    <x v="298"/>
    <x v="0"/>
    <x v="5"/>
    <x v="3"/>
    <x v="469"/>
    <x v="6"/>
    <x v="37"/>
    <x v="10"/>
    <x v="8"/>
    <x v="0"/>
  </r>
  <r>
    <x v="493"/>
    <x v="18"/>
    <x v="0"/>
    <x v="1"/>
    <x v="2"/>
    <x v="470"/>
    <x v="4"/>
    <x v="27"/>
    <x v="76"/>
    <x v="39"/>
    <x v="0"/>
  </r>
  <r>
    <x v="494"/>
    <x v="206"/>
    <x v="0"/>
    <x v="2"/>
    <x v="1"/>
    <x v="471"/>
    <x v="0"/>
    <x v="108"/>
    <x v="45"/>
    <x v="40"/>
    <x v="0"/>
  </r>
  <r>
    <x v="495"/>
    <x v="12"/>
    <x v="1"/>
    <x v="6"/>
    <x v="4"/>
    <x v="472"/>
    <x v="2"/>
    <x v="107"/>
    <x v="24"/>
    <x v="2"/>
    <x v="0"/>
  </r>
  <r>
    <x v="496"/>
    <x v="80"/>
    <x v="1"/>
    <x v="4"/>
    <x v="2"/>
    <x v="473"/>
    <x v="6"/>
    <x v="97"/>
    <x v="32"/>
    <x v="9"/>
    <x v="0"/>
  </r>
  <r>
    <x v="497"/>
    <x v="168"/>
    <x v="0"/>
    <x v="1"/>
    <x v="2"/>
    <x v="474"/>
    <x v="5"/>
    <x v="56"/>
    <x v="68"/>
    <x v="37"/>
    <x v="0"/>
  </r>
  <r>
    <x v="498"/>
    <x v="299"/>
    <x v="0"/>
    <x v="3"/>
    <x v="4"/>
    <x v="475"/>
    <x v="4"/>
    <x v="81"/>
    <x v="26"/>
    <x v="26"/>
    <x v="0"/>
  </r>
  <r>
    <x v="499"/>
    <x v="88"/>
    <x v="0"/>
    <x v="4"/>
    <x v="4"/>
    <x v="476"/>
    <x v="0"/>
    <x v="67"/>
    <x v="68"/>
    <x v="16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C3:C4" firstHeaderRow="1" firstDataRow="1" firstDataCol="0"/>
  <pivotFields count="11">
    <pivotField dataField="1" compact="0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compact="0" showAll="0">
      <items count="301">
        <item x="72"/>
        <item x="33"/>
        <item x="240"/>
        <item x="132"/>
        <item x="95"/>
        <item x="183"/>
        <item x="163"/>
        <item x="119"/>
        <item x="246"/>
        <item x="52"/>
        <item x="265"/>
        <item x="271"/>
        <item x="23"/>
        <item x="12"/>
        <item x="162"/>
        <item x="233"/>
        <item x="71"/>
        <item x="112"/>
        <item x="53"/>
        <item x="105"/>
        <item x="21"/>
        <item x="84"/>
        <item x="159"/>
        <item x="125"/>
        <item x="193"/>
        <item x="144"/>
        <item x="111"/>
        <item x="122"/>
        <item x="30"/>
        <item x="298"/>
        <item x="66"/>
        <item x="78"/>
        <item x="130"/>
        <item x="262"/>
        <item x="59"/>
        <item x="211"/>
        <item x="36"/>
        <item x="219"/>
        <item x="82"/>
        <item x="220"/>
        <item x="134"/>
        <item x="283"/>
        <item x="224"/>
        <item x="31"/>
        <item x="108"/>
        <item x="51"/>
        <item x="168"/>
        <item x="184"/>
        <item x="172"/>
        <item x="229"/>
        <item x="213"/>
        <item x="268"/>
        <item x="234"/>
        <item x="102"/>
        <item x="238"/>
        <item x="14"/>
        <item x="226"/>
        <item x="118"/>
        <item x="270"/>
        <item x="133"/>
        <item x="138"/>
        <item x="3"/>
        <item x="290"/>
        <item x="94"/>
        <item x="76"/>
        <item x="107"/>
        <item x="147"/>
        <item x="38"/>
        <item x="281"/>
        <item x="113"/>
        <item x="264"/>
        <item x="255"/>
        <item x="10"/>
        <item x="140"/>
        <item x="236"/>
        <item x="29"/>
        <item x="198"/>
        <item x="151"/>
        <item x="146"/>
        <item x="223"/>
        <item x="215"/>
        <item x="32"/>
        <item x="2"/>
        <item x="197"/>
        <item x="25"/>
        <item x="263"/>
        <item x="249"/>
        <item x="243"/>
        <item x="275"/>
        <item x="17"/>
        <item x="11"/>
        <item x="100"/>
        <item x="228"/>
        <item x="87"/>
        <item x="164"/>
        <item x="60"/>
        <item x="296"/>
        <item x="48"/>
        <item x="37"/>
        <item x="187"/>
        <item x="5"/>
        <item x="92"/>
        <item x="167"/>
        <item x="149"/>
        <item x="135"/>
        <item x="80"/>
        <item x="58"/>
        <item x="267"/>
        <item x="57"/>
        <item x="274"/>
        <item x="110"/>
        <item x="174"/>
        <item x="217"/>
        <item x="177"/>
        <item x="227"/>
        <item x="291"/>
        <item x="203"/>
        <item x="68"/>
        <item x="55"/>
        <item x="77"/>
        <item x="292"/>
        <item x="259"/>
        <item x="277"/>
        <item x="221"/>
        <item x="180"/>
        <item x="293"/>
        <item x="247"/>
        <item x="191"/>
        <item x="96"/>
        <item x="22"/>
        <item x="166"/>
        <item x="156"/>
        <item x="137"/>
        <item x="261"/>
        <item x="207"/>
        <item x="210"/>
        <item x="136"/>
        <item x="120"/>
        <item x="280"/>
        <item x="73"/>
        <item x="24"/>
        <item x="278"/>
        <item x="195"/>
        <item x="152"/>
        <item x="208"/>
        <item x="49"/>
        <item x="47"/>
        <item x="27"/>
        <item x="258"/>
        <item x="90"/>
        <item x="85"/>
        <item x="222"/>
        <item x="204"/>
        <item x="64"/>
        <item x="19"/>
        <item x="128"/>
        <item x="235"/>
        <item x="185"/>
        <item x="9"/>
        <item x="181"/>
        <item x="93"/>
        <item x="266"/>
        <item x="209"/>
        <item x="13"/>
        <item x="116"/>
        <item x="239"/>
        <item x="216"/>
        <item x="8"/>
        <item x="91"/>
        <item x="202"/>
        <item x="16"/>
        <item x="81"/>
        <item x="257"/>
        <item x="201"/>
        <item x="295"/>
        <item x="175"/>
        <item x="40"/>
        <item x="4"/>
        <item x="98"/>
        <item x="189"/>
        <item x="182"/>
        <item x="279"/>
        <item x="65"/>
        <item x="63"/>
        <item x="124"/>
        <item x="288"/>
        <item x="254"/>
        <item x="145"/>
        <item x="169"/>
        <item x="241"/>
        <item x="50"/>
        <item x="206"/>
        <item x="157"/>
        <item x="253"/>
        <item x="129"/>
        <item x="194"/>
        <item x="205"/>
        <item x="287"/>
        <item x="252"/>
        <item x="44"/>
        <item x="212"/>
        <item x="75"/>
        <item x="39"/>
        <item x="250"/>
        <item x="176"/>
        <item x="178"/>
        <item x="192"/>
        <item x="86"/>
        <item x="104"/>
        <item x="188"/>
        <item x="41"/>
        <item x="127"/>
        <item x="45"/>
        <item x="286"/>
        <item x="150"/>
        <item x="131"/>
        <item x="245"/>
        <item x="173"/>
        <item x="196"/>
        <item x="126"/>
        <item x="190"/>
        <item x="237"/>
        <item x="43"/>
        <item x="294"/>
        <item x="28"/>
        <item x="186"/>
        <item x="34"/>
        <item x="35"/>
        <item x="54"/>
        <item x="143"/>
        <item x="42"/>
        <item x="7"/>
        <item x="284"/>
        <item x="160"/>
        <item x="142"/>
        <item x="69"/>
        <item x="46"/>
        <item x="74"/>
        <item x="230"/>
        <item x="256"/>
        <item x="89"/>
        <item x="18"/>
        <item x="297"/>
        <item x="67"/>
        <item x="117"/>
        <item x="242"/>
        <item x="154"/>
        <item x="61"/>
        <item x="62"/>
        <item x="251"/>
        <item x="225"/>
        <item x="276"/>
        <item x="15"/>
        <item x="101"/>
        <item x="99"/>
        <item x="26"/>
        <item x="214"/>
        <item x="170"/>
        <item x="6"/>
        <item x="83"/>
        <item x="70"/>
        <item x="97"/>
        <item x="289"/>
        <item x="171"/>
        <item x="272"/>
        <item x="299"/>
        <item x="200"/>
        <item x="123"/>
        <item x="232"/>
        <item x="269"/>
        <item x="114"/>
        <item x="79"/>
        <item x="165"/>
        <item x="244"/>
        <item x="109"/>
        <item x="161"/>
        <item x="155"/>
        <item x="158"/>
        <item x="248"/>
        <item x="153"/>
        <item x="115"/>
        <item x="199"/>
        <item x="103"/>
        <item x="1"/>
        <item x="88"/>
        <item x="260"/>
        <item x="179"/>
        <item x="139"/>
        <item x="106"/>
        <item x="231"/>
        <item x="282"/>
        <item x="273"/>
        <item x="121"/>
        <item x="285"/>
        <item x="20"/>
        <item x="141"/>
        <item x="56"/>
        <item x="218"/>
        <item x="148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9">
        <item x="3"/>
        <item x="6"/>
        <item x="1"/>
        <item x="2"/>
        <item x="5"/>
        <item x="7"/>
        <item x="4"/>
        <item x="0"/>
        <item t="default"/>
      </items>
    </pivotField>
    <pivotField compact="0" showAll="0">
      <items count="6">
        <item x="4"/>
        <item x="0"/>
        <item x="2"/>
        <item x="1"/>
        <item x="3"/>
        <item t="default"/>
      </items>
    </pivotField>
    <pivotField compact="0" numFmtId="185" showAll="0">
      <items count="478">
        <item x="433"/>
        <item x="58"/>
        <item x="2"/>
        <item x="343"/>
        <item x="354"/>
        <item x="472"/>
        <item x="161"/>
        <item x="233"/>
        <item x="437"/>
        <item x="71"/>
        <item x="138"/>
        <item x="98"/>
        <item x="205"/>
        <item x="404"/>
        <item x="456"/>
        <item x="45"/>
        <item x="350"/>
        <item x="193"/>
        <item x="445"/>
        <item x="450"/>
        <item x="11"/>
        <item x="188"/>
        <item x="89"/>
        <item x="213"/>
        <item x="285"/>
        <item x="384"/>
        <item x="422"/>
        <item x="414"/>
        <item x="258"/>
        <item x="20"/>
        <item x="169"/>
        <item x="17"/>
        <item x="260"/>
        <item x="68"/>
        <item x="156"/>
        <item x="307"/>
        <item x="311"/>
        <item x="362"/>
        <item x="82"/>
        <item x="23"/>
        <item x="133"/>
        <item x="425"/>
        <item x="34"/>
        <item x="373"/>
        <item x="470"/>
        <item x="182"/>
        <item x="369"/>
        <item x="245"/>
        <item x="393"/>
        <item x="230"/>
        <item x="313"/>
        <item x="130"/>
        <item x="145"/>
        <item x="331"/>
        <item x="261"/>
        <item x="160"/>
        <item x="475"/>
        <item x="256"/>
        <item x="225"/>
        <item x="270"/>
        <item x="159"/>
        <item x="176"/>
        <item x="63"/>
        <item x="386"/>
        <item x="365"/>
        <item x="154"/>
        <item x="468"/>
        <item x="41"/>
        <item x="452"/>
        <item x="187"/>
        <item x="429"/>
        <item x="166"/>
        <item x="216"/>
        <item x="37"/>
        <item x="35"/>
        <item x="105"/>
        <item x="314"/>
        <item x="6"/>
        <item x="7"/>
        <item x="67"/>
        <item x="453"/>
        <item x="178"/>
        <item x="405"/>
        <item x="324"/>
        <item x="395"/>
        <item x="207"/>
        <item x="372"/>
        <item x="388"/>
        <item x="444"/>
        <item x="303"/>
        <item x="153"/>
        <item x="88"/>
        <item x="474"/>
        <item x="294"/>
        <item x="103"/>
        <item x="272"/>
        <item x="396"/>
        <item x="84"/>
        <item x="246"/>
        <item x="226"/>
        <item x="375"/>
        <item x="378"/>
        <item x="181"/>
        <item x="467"/>
        <item x="209"/>
        <item x="385"/>
        <item x="352"/>
        <item x="316"/>
        <item x="239"/>
        <item x="139"/>
        <item x="344"/>
        <item x="419"/>
        <item x="380"/>
        <item x="454"/>
        <item x="46"/>
        <item x="394"/>
        <item x="340"/>
        <item x="8"/>
        <item x="131"/>
        <item x="382"/>
        <item x="264"/>
        <item x="284"/>
        <item x="298"/>
        <item x="172"/>
        <item x="221"/>
        <item x="283"/>
        <item x="305"/>
        <item x="196"/>
        <item x="357"/>
        <item x="406"/>
        <item x="249"/>
        <item x="250"/>
        <item x="356"/>
        <item x="38"/>
        <item x="48"/>
        <item x="446"/>
        <item x="297"/>
        <item x="355"/>
        <item x="418"/>
        <item x="368"/>
        <item x="140"/>
        <item x="152"/>
        <item x="287"/>
        <item x="109"/>
        <item x="336"/>
        <item x="55"/>
        <item x="174"/>
        <item x="346"/>
        <item x="5"/>
        <item x="208"/>
        <item x="247"/>
        <item x="121"/>
        <item x="33"/>
        <item x="53"/>
        <item x="86"/>
        <item x="168"/>
        <item x="339"/>
        <item x="389"/>
        <item x="56"/>
        <item x="413"/>
        <item x="275"/>
        <item x="102"/>
        <item x="115"/>
        <item x="220"/>
        <item x="464"/>
        <item x="421"/>
        <item x="52"/>
        <item x="391"/>
        <item x="44"/>
        <item x="110"/>
        <item x="39"/>
        <item x="392"/>
        <item x="79"/>
        <item x="164"/>
        <item x="80"/>
        <item x="459"/>
        <item x="3"/>
        <item x="212"/>
        <item x="214"/>
        <item x="175"/>
        <item x="165"/>
        <item x="377"/>
        <item x="42"/>
        <item x="141"/>
        <item x="136"/>
        <item x="127"/>
        <item x="203"/>
        <item x="325"/>
        <item x="180"/>
        <item x="197"/>
        <item x="271"/>
        <item x="204"/>
        <item x="118"/>
        <item x="235"/>
        <item x="449"/>
        <item x="12"/>
        <item x="447"/>
        <item x="293"/>
        <item x="28"/>
        <item x="347"/>
        <item x="317"/>
        <item x="397"/>
        <item x="299"/>
        <item x="123"/>
        <item x="274"/>
        <item x="31"/>
        <item x="211"/>
        <item x="281"/>
        <item x="184"/>
        <item x="351"/>
        <item x="190"/>
        <item x="162"/>
        <item x="142"/>
        <item x="25"/>
        <item x="326"/>
        <item x="75"/>
        <item x="91"/>
        <item x="76"/>
        <item x="434"/>
        <item x="201"/>
        <item x="183"/>
        <item x="327"/>
        <item x="219"/>
        <item x="157"/>
        <item x="117"/>
        <item x="200"/>
        <item x="179"/>
        <item x="171"/>
        <item x="321"/>
        <item x="430"/>
        <item x="353"/>
        <item x="155"/>
        <item x="457"/>
        <item x="106"/>
        <item x="59"/>
        <item x="72"/>
        <item x="114"/>
        <item x="93"/>
        <item x="399"/>
        <item x="18"/>
        <item x="312"/>
        <item x="252"/>
        <item x="194"/>
        <item x="144"/>
        <item x="128"/>
        <item x="62"/>
        <item x="27"/>
        <item x="320"/>
        <item x="81"/>
        <item x="292"/>
        <item x="97"/>
        <item x="218"/>
        <item x="455"/>
        <item x="223"/>
        <item x="310"/>
        <item x="463"/>
        <item x="228"/>
        <item x="189"/>
        <item x="267"/>
        <item x="113"/>
        <item x="403"/>
        <item x="50"/>
        <item x="10"/>
        <item x="22"/>
        <item x="70"/>
        <item x="265"/>
        <item x="64"/>
        <item x="66"/>
        <item x="441"/>
        <item x="104"/>
        <item x="26"/>
        <item x="4"/>
        <item x="191"/>
        <item x="170"/>
        <item x="60"/>
        <item x="40"/>
        <item x="323"/>
        <item x="286"/>
        <item x="349"/>
        <item x="73"/>
        <item x="29"/>
        <item x="366"/>
        <item x="334"/>
        <item x="408"/>
        <item x="224"/>
        <item x="276"/>
        <item x="427"/>
        <item x="387"/>
        <item x="288"/>
        <item x="85"/>
        <item x="158"/>
        <item x="348"/>
        <item x="329"/>
        <item x="295"/>
        <item x="177"/>
        <item x="16"/>
        <item x="398"/>
        <item x="1"/>
        <item x="390"/>
        <item x="146"/>
        <item x="439"/>
        <item x="90"/>
        <item x="54"/>
        <item x="410"/>
        <item x="15"/>
        <item x="291"/>
        <item x="240"/>
        <item x="77"/>
        <item x="119"/>
        <item x="51"/>
        <item x="215"/>
        <item x="92"/>
        <item x="337"/>
        <item x="374"/>
        <item x="116"/>
        <item x="100"/>
        <item x="424"/>
        <item x="315"/>
        <item x="217"/>
        <item x="259"/>
        <item x="473"/>
        <item x="436"/>
        <item x="243"/>
        <item x="242"/>
        <item x="24"/>
        <item x="277"/>
        <item x="9"/>
        <item x="151"/>
        <item x="32"/>
        <item x="120"/>
        <item x="282"/>
        <item x="129"/>
        <item x="173"/>
        <item x="47"/>
        <item x="255"/>
        <item x="167"/>
        <item x="469"/>
        <item x="411"/>
        <item x="94"/>
        <item x="290"/>
        <item x="198"/>
        <item x="319"/>
        <item x="101"/>
        <item x="186"/>
        <item x="134"/>
        <item x="451"/>
        <item x="438"/>
        <item x="206"/>
        <item x="318"/>
        <item x="280"/>
        <item x="19"/>
        <item x="359"/>
        <item x="241"/>
        <item x="262"/>
        <item x="125"/>
        <item x="263"/>
        <item x="448"/>
        <item x="435"/>
        <item x="432"/>
        <item x="126"/>
        <item x="278"/>
        <item x="0"/>
        <item x="423"/>
        <item x="364"/>
        <item x="257"/>
        <item x="83"/>
        <item x="309"/>
        <item x="192"/>
        <item x="13"/>
        <item x="308"/>
        <item x="253"/>
        <item x="99"/>
        <item x="458"/>
        <item x="333"/>
        <item x="476"/>
        <item x="111"/>
        <item x="431"/>
        <item x="379"/>
        <item x="471"/>
        <item x="440"/>
        <item x="112"/>
        <item x="237"/>
        <item x="335"/>
        <item x="202"/>
        <item x="210"/>
        <item x="238"/>
        <item x="149"/>
        <item x="302"/>
        <item x="36"/>
        <item x="279"/>
        <item x="304"/>
        <item x="199"/>
        <item x="415"/>
        <item x="132"/>
        <item x="96"/>
        <item x="412"/>
        <item x="360"/>
        <item x="248"/>
        <item x="147"/>
        <item x="74"/>
        <item x="417"/>
        <item x="371"/>
        <item x="401"/>
        <item x="185"/>
        <item x="232"/>
        <item x="466"/>
        <item x="332"/>
        <item x="163"/>
        <item x="234"/>
        <item x="269"/>
        <item x="289"/>
        <item x="78"/>
        <item x="370"/>
        <item x="30"/>
        <item x="122"/>
        <item x="407"/>
        <item x="341"/>
        <item x="328"/>
        <item x="61"/>
        <item x="358"/>
        <item x="43"/>
        <item x="222"/>
        <item x="87"/>
        <item x="409"/>
        <item x="108"/>
        <item x="69"/>
        <item x="342"/>
        <item x="400"/>
        <item x="195"/>
        <item x="57"/>
        <item x="251"/>
        <item x="229"/>
        <item x="460"/>
        <item x="49"/>
        <item x="330"/>
        <item x="124"/>
        <item x="443"/>
        <item x="296"/>
        <item x="21"/>
        <item x="442"/>
        <item x="95"/>
        <item x="268"/>
        <item x="266"/>
        <item x="254"/>
        <item x="306"/>
        <item x="376"/>
        <item x="462"/>
        <item x="461"/>
        <item x="244"/>
        <item x="135"/>
        <item x="150"/>
        <item x="236"/>
        <item x="65"/>
        <item x="428"/>
        <item x="143"/>
        <item x="426"/>
        <item x="383"/>
        <item x="137"/>
        <item x="148"/>
        <item x="14"/>
        <item x="361"/>
        <item x="273"/>
        <item x="338"/>
        <item x="416"/>
        <item x="345"/>
        <item x="465"/>
        <item x="322"/>
        <item x="367"/>
        <item x="301"/>
        <item x="420"/>
        <item x="402"/>
        <item x="363"/>
        <item x="231"/>
        <item x="381"/>
        <item x="300"/>
        <item x="227"/>
        <item x="107"/>
        <item t="default"/>
      </items>
    </pivotField>
    <pivotField compact="0" showAll="0">
      <items count="12">
        <item x="2"/>
        <item x="4"/>
        <item x="5"/>
        <item x="3"/>
        <item x="7"/>
        <item x="9"/>
        <item x="1"/>
        <item x="6"/>
        <item x="0"/>
        <item x="10"/>
        <item x="8"/>
        <item t="default"/>
      </items>
    </pivotField>
    <pivotField compact="0" showAll="0">
      <items count="111">
        <item x="66"/>
        <item x="103"/>
        <item x="100"/>
        <item x="12"/>
        <item x="46"/>
        <item x="95"/>
        <item x="104"/>
        <item x="96"/>
        <item x="18"/>
        <item x="38"/>
        <item x="43"/>
        <item x="48"/>
        <item x="55"/>
        <item x="35"/>
        <item x="24"/>
        <item x="84"/>
        <item x="50"/>
        <item x="60"/>
        <item x="29"/>
        <item x="92"/>
        <item x="90"/>
        <item x="68"/>
        <item x="108"/>
        <item x="67"/>
        <item x="62"/>
        <item x="11"/>
        <item x="52"/>
        <item x="74"/>
        <item x="98"/>
        <item x="73"/>
        <item x="16"/>
        <item x="79"/>
        <item x="59"/>
        <item x="37"/>
        <item x="76"/>
        <item x="71"/>
        <item x="8"/>
        <item x="97"/>
        <item x="63"/>
        <item x="58"/>
        <item x="39"/>
        <item x="13"/>
        <item x="1"/>
        <item x="54"/>
        <item x="93"/>
        <item x="23"/>
        <item x="101"/>
        <item x="32"/>
        <item x="4"/>
        <item x="9"/>
        <item x="69"/>
        <item x="99"/>
        <item x="88"/>
        <item x="105"/>
        <item x="61"/>
        <item x="21"/>
        <item x="15"/>
        <item x="44"/>
        <item x="65"/>
        <item x="82"/>
        <item x="70"/>
        <item x="51"/>
        <item x="20"/>
        <item x="83"/>
        <item x="25"/>
        <item x="72"/>
        <item x="22"/>
        <item x="0"/>
        <item x="75"/>
        <item x="34"/>
        <item x="85"/>
        <item x="3"/>
        <item x="31"/>
        <item x="40"/>
        <item x="64"/>
        <item x="42"/>
        <item x="26"/>
        <item x="5"/>
        <item x="41"/>
        <item x="102"/>
        <item x="30"/>
        <item x="89"/>
        <item x="86"/>
        <item x="78"/>
        <item x="7"/>
        <item x="80"/>
        <item x="106"/>
        <item x="87"/>
        <item x="53"/>
        <item x="56"/>
        <item x="91"/>
        <item x="6"/>
        <item x="28"/>
        <item x="33"/>
        <item x="45"/>
        <item x="81"/>
        <item x="77"/>
        <item x="94"/>
        <item x="27"/>
        <item x="19"/>
        <item x="47"/>
        <item x="14"/>
        <item x="17"/>
        <item x="57"/>
        <item x="10"/>
        <item x="36"/>
        <item x="109"/>
        <item x="49"/>
        <item x="107"/>
        <item x="2"/>
        <item t="default"/>
      </items>
    </pivotField>
    <pivotField compact="0" numFmtId="184" showAll="0">
      <items count="100">
        <item x="87"/>
        <item x="97"/>
        <item x="86"/>
        <item x="81"/>
        <item x="38"/>
        <item x="58"/>
        <item x="44"/>
        <item x="18"/>
        <item x="55"/>
        <item x="75"/>
        <item x="14"/>
        <item x="34"/>
        <item x="29"/>
        <item x="19"/>
        <item x="47"/>
        <item x="4"/>
        <item x="60"/>
        <item x="13"/>
        <item x="1"/>
        <item x="10"/>
        <item x="32"/>
        <item x="51"/>
        <item x="22"/>
        <item x="88"/>
        <item x="62"/>
        <item x="2"/>
        <item x="73"/>
        <item x="74"/>
        <item x="90"/>
        <item x="71"/>
        <item x="26"/>
        <item x="30"/>
        <item x="64"/>
        <item x="23"/>
        <item x="8"/>
        <item x="35"/>
        <item x="52"/>
        <item x="68"/>
        <item x="15"/>
        <item x="65"/>
        <item x="93"/>
        <item x="45"/>
        <item x="16"/>
        <item x="3"/>
        <item x="21"/>
        <item x="20"/>
        <item x="83"/>
        <item x="63"/>
        <item x="9"/>
        <item x="12"/>
        <item x="48"/>
        <item x="66"/>
        <item x="24"/>
        <item x="17"/>
        <item x="91"/>
        <item x="7"/>
        <item x="41"/>
        <item x="5"/>
        <item x="50"/>
        <item x="49"/>
        <item x="77"/>
        <item x="84"/>
        <item x="43"/>
        <item x="37"/>
        <item x="78"/>
        <item x="59"/>
        <item x="79"/>
        <item x="36"/>
        <item x="28"/>
        <item x="11"/>
        <item x="46"/>
        <item x="69"/>
        <item x="25"/>
        <item x="31"/>
        <item x="6"/>
        <item x="57"/>
        <item x="67"/>
        <item x="39"/>
        <item x="33"/>
        <item x="70"/>
        <item x="95"/>
        <item x="80"/>
        <item x="85"/>
        <item x="53"/>
        <item x="56"/>
        <item x="92"/>
        <item x="89"/>
        <item x="27"/>
        <item x="61"/>
        <item x="76"/>
        <item x="96"/>
        <item x="54"/>
        <item x="98"/>
        <item x="82"/>
        <item x="42"/>
        <item x="94"/>
        <item x="0"/>
        <item x="40"/>
        <item x="72"/>
        <item t="default"/>
      </items>
    </pivotField>
    <pivotField compact="0" numFmtId="182" showAll="0">
      <items count="52">
        <item x="11"/>
        <item x="24"/>
        <item x="50"/>
        <item x="17"/>
        <item x="1"/>
        <item x="47"/>
        <item x="31"/>
        <item x="29"/>
        <item x="49"/>
        <item x="38"/>
        <item x="27"/>
        <item x="37"/>
        <item x="5"/>
        <item x="10"/>
        <item x="45"/>
        <item x="3"/>
        <item x="21"/>
        <item x="32"/>
        <item x="26"/>
        <item x="28"/>
        <item x="12"/>
        <item x="16"/>
        <item x="2"/>
        <item x="44"/>
        <item x="40"/>
        <item x="9"/>
        <item x="33"/>
        <item x="8"/>
        <item x="39"/>
        <item x="34"/>
        <item x="42"/>
        <item x="18"/>
        <item x="4"/>
        <item x="35"/>
        <item x="7"/>
        <item x="36"/>
        <item x="30"/>
        <item x="14"/>
        <item x="6"/>
        <item x="15"/>
        <item x="22"/>
        <item x="43"/>
        <item x="20"/>
        <item x="13"/>
        <item x="48"/>
        <item x="25"/>
        <item x="46"/>
        <item x="41"/>
        <item x="23"/>
        <item x="19"/>
        <item x="0"/>
        <item t="default"/>
      </items>
    </pivotField>
    <pivotField compact="0" showAll="0">
      <items count="3">
        <item x="0"/>
        <item x="1"/>
        <item t="default"/>
      </items>
    </pivotField>
  </pivotFields>
  <dataFields count="1">
    <dataField name="Total employees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F7:G10" firstHeaderRow="1" firstDataRow="1" firstDataCol="1"/>
  <pivotFields count="11">
    <pivotField compact="0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dataField="1" compact="0" showAll="0">
      <items count="301">
        <item x="72"/>
        <item x="33"/>
        <item x="240"/>
        <item x="132"/>
        <item x="95"/>
        <item x="183"/>
        <item x="163"/>
        <item x="119"/>
        <item x="246"/>
        <item x="52"/>
        <item x="265"/>
        <item x="271"/>
        <item x="23"/>
        <item x="12"/>
        <item x="162"/>
        <item x="233"/>
        <item x="71"/>
        <item x="112"/>
        <item x="53"/>
        <item x="105"/>
        <item x="21"/>
        <item x="84"/>
        <item x="159"/>
        <item x="125"/>
        <item x="193"/>
        <item x="144"/>
        <item x="111"/>
        <item x="122"/>
        <item x="30"/>
        <item x="298"/>
        <item x="66"/>
        <item x="78"/>
        <item x="130"/>
        <item x="262"/>
        <item x="59"/>
        <item x="211"/>
        <item x="36"/>
        <item x="219"/>
        <item x="82"/>
        <item x="220"/>
        <item x="134"/>
        <item x="283"/>
        <item x="224"/>
        <item x="31"/>
        <item x="108"/>
        <item x="51"/>
        <item x="168"/>
        <item x="184"/>
        <item x="172"/>
        <item x="229"/>
        <item x="213"/>
        <item x="268"/>
        <item x="234"/>
        <item x="102"/>
        <item x="238"/>
        <item x="14"/>
        <item x="226"/>
        <item x="118"/>
        <item x="270"/>
        <item x="133"/>
        <item x="138"/>
        <item x="3"/>
        <item x="290"/>
        <item x="94"/>
        <item x="76"/>
        <item x="107"/>
        <item x="147"/>
        <item x="38"/>
        <item x="281"/>
        <item x="113"/>
        <item x="264"/>
        <item x="255"/>
        <item x="10"/>
        <item x="140"/>
        <item x="236"/>
        <item x="29"/>
        <item x="198"/>
        <item x="151"/>
        <item x="146"/>
        <item x="223"/>
        <item x="215"/>
        <item x="32"/>
        <item x="2"/>
        <item x="197"/>
        <item x="25"/>
        <item x="263"/>
        <item x="249"/>
        <item x="243"/>
        <item x="275"/>
        <item x="17"/>
        <item x="11"/>
        <item x="100"/>
        <item x="228"/>
        <item x="87"/>
        <item x="164"/>
        <item x="60"/>
        <item x="296"/>
        <item x="48"/>
        <item x="37"/>
        <item x="187"/>
        <item x="5"/>
        <item x="92"/>
        <item x="167"/>
        <item x="149"/>
        <item x="135"/>
        <item x="80"/>
        <item x="58"/>
        <item x="267"/>
        <item x="57"/>
        <item x="274"/>
        <item x="110"/>
        <item x="174"/>
        <item x="217"/>
        <item x="177"/>
        <item x="227"/>
        <item x="291"/>
        <item x="203"/>
        <item x="68"/>
        <item x="55"/>
        <item x="77"/>
        <item x="292"/>
        <item x="259"/>
        <item x="277"/>
        <item x="221"/>
        <item x="180"/>
        <item x="293"/>
        <item x="247"/>
        <item x="191"/>
        <item x="96"/>
        <item x="22"/>
        <item x="166"/>
        <item x="156"/>
        <item x="137"/>
        <item x="261"/>
        <item x="207"/>
        <item x="210"/>
        <item x="136"/>
        <item x="120"/>
        <item x="280"/>
        <item x="73"/>
        <item x="24"/>
        <item x="278"/>
        <item x="195"/>
        <item x="152"/>
        <item x="208"/>
        <item x="49"/>
        <item x="47"/>
        <item x="27"/>
        <item x="258"/>
        <item x="90"/>
        <item x="85"/>
        <item x="222"/>
        <item x="204"/>
        <item x="64"/>
        <item x="19"/>
        <item x="128"/>
        <item x="235"/>
        <item x="185"/>
        <item x="9"/>
        <item x="181"/>
        <item x="93"/>
        <item x="266"/>
        <item x="209"/>
        <item x="13"/>
        <item x="116"/>
        <item x="239"/>
        <item x="216"/>
        <item x="8"/>
        <item x="91"/>
        <item x="202"/>
        <item x="16"/>
        <item x="81"/>
        <item x="257"/>
        <item x="201"/>
        <item x="295"/>
        <item x="175"/>
        <item x="40"/>
        <item x="4"/>
        <item x="98"/>
        <item x="189"/>
        <item x="182"/>
        <item x="279"/>
        <item x="65"/>
        <item x="63"/>
        <item x="124"/>
        <item x="288"/>
        <item x="254"/>
        <item x="145"/>
        <item x="169"/>
        <item x="241"/>
        <item x="50"/>
        <item x="206"/>
        <item x="157"/>
        <item x="253"/>
        <item x="129"/>
        <item x="194"/>
        <item x="205"/>
        <item x="287"/>
        <item x="252"/>
        <item x="44"/>
        <item x="212"/>
        <item x="75"/>
        <item x="39"/>
        <item x="250"/>
        <item x="176"/>
        <item x="178"/>
        <item x="192"/>
        <item x="86"/>
        <item x="104"/>
        <item x="188"/>
        <item x="41"/>
        <item x="127"/>
        <item x="45"/>
        <item x="286"/>
        <item x="150"/>
        <item x="131"/>
        <item x="245"/>
        <item x="173"/>
        <item x="196"/>
        <item x="126"/>
        <item x="190"/>
        <item x="237"/>
        <item x="43"/>
        <item x="294"/>
        <item x="28"/>
        <item x="186"/>
        <item x="34"/>
        <item x="35"/>
        <item x="54"/>
        <item x="143"/>
        <item x="42"/>
        <item x="7"/>
        <item x="284"/>
        <item x="160"/>
        <item x="142"/>
        <item x="69"/>
        <item x="46"/>
        <item x="74"/>
        <item x="230"/>
        <item x="256"/>
        <item x="89"/>
        <item x="18"/>
        <item x="297"/>
        <item x="67"/>
        <item x="117"/>
        <item x="242"/>
        <item x="154"/>
        <item x="61"/>
        <item x="62"/>
        <item x="251"/>
        <item x="225"/>
        <item x="276"/>
        <item x="15"/>
        <item x="101"/>
        <item x="99"/>
        <item x="26"/>
        <item x="214"/>
        <item x="170"/>
        <item x="6"/>
        <item x="83"/>
        <item x="70"/>
        <item x="97"/>
        <item x="289"/>
        <item x="171"/>
        <item x="272"/>
        <item x="299"/>
        <item x="200"/>
        <item x="123"/>
        <item x="232"/>
        <item x="269"/>
        <item x="114"/>
        <item x="79"/>
        <item x="165"/>
        <item x="244"/>
        <item x="109"/>
        <item x="161"/>
        <item x="155"/>
        <item x="158"/>
        <item x="248"/>
        <item x="153"/>
        <item x="115"/>
        <item x="199"/>
        <item x="103"/>
        <item x="1"/>
        <item x="88"/>
        <item x="260"/>
        <item x="179"/>
        <item x="139"/>
        <item x="106"/>
        <item x="231"/>
        <item x="282"/>
        <item x="273"/>
        <item x="121"/>
        <item x="285"/>
        <item x="20"/>
        <item x="141"/>
        <item x="56"/>
        <item x="218"/>
        <item x="148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9">
        <item x="3"/>
        <item x="6"/>
        <item x="1"/>
        <item x="2"/>
        <item x="5"/>
        <item x="7"/>
        <item x="4"/>
        <item x="0"/>
        <item t="default"/>
      </items>
    </pivotField>
    <pivotField compact="0" showAll="0">
      <items count="6">
        <item x="1"/>
        <item x="2"/>
        <item x="0"/>
        <item x="3"/>
        <item x="4"/>
        <item t="default"/>
      </items>
    </pivotField>
    <pivotField compact="0" numFmtId="185" showAll="0">
      <items count="47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t="default"/>
      </items>
    </pivotField>
    <pivotField compact="0" showAll="0">
      <items count="12">
        <item x="2"/>
        <item x="4"/>
        <item x="5"/>
        <item x="3"/>
        <item x="7"/>
        <item x="9"/>
        <item x="1"/>
        <item x="6"/>
        <item x="0"/>
        <item x="10"/>
        <item x="8"/>
        <item t="default"/>
      </items>
    </pivotField>
    <pivotField compact="0" showAll="0">
      <items count="111">
        <item x="74"/>
        <item x="1"/>
        <item x="2"/>
        <item x="3"/>
        <item x="4"/>
        <item x="5"/>
        <item x="6"/>
        <item x="7"/>
        <item x="8"/>
        <item x="9"/>
        <item x="10"/>
        <item x="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compact="0" numFmtId="184" showAll="0">
      <items count="100">
        <item x="34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5"/>
        <item x="36"/>
        <item x="37"/>
        <item x="38"/>
        <item x="39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53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0"/>
        <item x="40"/>
        <item x="72"/>
        <item t="default"/>
      </items>
    </pivotField>
    <pivotField compact="0" numFmtId="182" showAll="0">
      <items count="52">
        <item x="3"/>
        <item x="1"/>
        <item x="2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0"/>
        <item t="default"/>
      </items>
    </pivotField>
    <pivotField axis="axisRow" compact="0" showAll="0">
      <items count="3">
        <item x="0"/>
        <item x="1"/>
        <item t="default"/>
      </items>
    </pivotField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Count of Employee_Name" fld="1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C18:D24" firstHeaderRow="1" firstDataRow="1" firstDataCol="1"/>
  <pivotFields count="11">
    <pivotField compact="0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dataField="1" compact="0" showAll="0">
      <items count="301">
        <item x="72"/>
        <item x="33"/>
        <item x="240"/>
        <item x="132"/>
        <item x="95"/>
        <item x="183"/>
        <item x="163"/>
        <item x="119"/>
        <item x="246"/>
        <item x="52"/>
        <item x="265"/>
        <item x="271"/>
        <item x="23"/>
        <item x="12"/>
        <item x="162"/>
        <item x="233"/>
        <item x="71"/>
        <item x="112"/>
        <item x="53"/>
        <item x="105"/>
        <item x="21"/>
        <item x="84"/>
        <item x="159"/>
        <item x="125"/>
        <item x="193"/>
        <item x="144"/>
        <item x="111"/>
        <item x="122"/>
        <item x="30"/>
        <item x="298"/>
        <item x="66"/>
        <item x="78"/>
        <item x="130"/>
        <item x="262"/>
        <item x="59"/>
        <item x="211"/>
        <item x="36"/>
        <item x="219"/>
        <item x="82"/>
        <item x="220"/>
        <item x="134"/>
        <item x="283"/>
        <item x="224"/>
        <item x="31"/>
        <item x="108"/>
        <item x="51"/>
        <item x="168"/>
        <item x="184"/>
        <item x="172"/>
        <item x="229"/>
        <item x="213"/>
        <item x="268"/>
        <item x="234"/>
        <item x="102"/>
        <item x="238"/>
        <item x="14"/>
        <item x="226"/>
        <item x="118"/>
        <item x="270"/>
        <item x="133"/>
        <item x="138"/>
        <item x="3"/>
        <item x="290"/>
        <item x="94"/>
        <item x="76"/>
        <item x="107"/>
        <item x="147"/>
        <item x="38"/>
        <item x="281"/>
        <item x="113"/>
        <item x="264"/>
        <item x="255"/>
        <item x="10"/>
        <item x="140"/>
        <item x="236"/>
        <item x="29"/>
        <item x="198"/>
        <item x="151"/>
        <item x="146"/>
        <item x="223"/>
        <item x="215"/>
        <item x="32"/>
        <item x="2"/>
        <item x="197"/>
        <item x="25"/>
        <item x="263"/>
        <item x="249"/>
        <item x="243"/>
        <item x="275"/>
        <item x="17"/>
        <item x="11"/>
        <item x="100"/>
        <item x="228"/>
        <item x="87"/>
        <item x="164"/>
        <item x="60"/>
        <item x="296"/>
        <item x="48"/>
        <item x="37"/>
        <item x="187"/>
        <item x="5"/>
        <item x="92"/>
        <item x="167"/>
        <item x="149"/>
        <item x="135"/>
        <item x="80"/>
        <item x="58"/>
        <item x="267"/>
        <item x="57"/>
        <item x="274"/>
        <item x="110"/>
        <item x="174"/>
        <item x="217"/>
        <item x="177"/>
        <item x="227"/>
        <item x="291"/>
        <item x="203"/>
        <item x="68"/>
        <item x="55"/>
        <item x="77"/>
        <item x="292"/>
        <item x="259"/>
        <item x="277"/>
        <item x="221"/>
        <item x="180"/>
        <item x="293"/>
        <item x="247"/>
        <item x="191"/>
        <item x="96"/>
        <item x="22"/>
        <item x="166"/>
        <item x="156"/>
        <item x="137"/>
        <item x="261"/>
        <item x="207"/>
        <item x="210"/>
        <item x="136"/>
        <item x="120"/>
        <item x="280"/>
        <item x="73"/>
        <item x="24"/>
        <item x="278"/>
        <item x="195"/>
        <item x="152"/>
        <item x="208"/>
        <item x="49"/>
        <item x="47"/>
        <item x="27"/>
        <item x="258"/>
        <item x="90"/>
        <item x="85"/>
        <item x="222"/>
        <item x="204"/>
        <item x="64"/>
        <item x="19"/>
        <item x="128"/>
        <item x="235"/>
        <item x="185"/>
        <item x="9"/>
        <item x="181"/>
        <item x="93"/>
        <item x="266"/>
        <item x="209"/>
        <item x="13"/>
        <item x="116"/>
        <item x="239"/>
        <item x="216"/>
        <item x="8"/>
        <item x="91"/>
        <item x="202"/>
        <item x="16"/>
        <item x="81"/>
        <item x="257"/>
        <item x="201"/>
        <item x="295"/>
        <item x="175"/>
        <item x="40"/>
        <item x="4"/>
        <item x="98"/>
        <item x="189"/>
        <item x="182"/>
        <item x="279"/>
        <item x="65"/>
        <item x="63"/>
        <item x="124"/>
        <item x="288"/>
        <item x="254"/>
        <item x="145"/>
        <item x="169"/>
        <item x="241"/>
        <item x="50"/>
        <item x="206"/>
        <item x="157"/>
        <item x="253"/>
        <item x="129"/>
        <item x="194"/>
        <item x="205"/>
        <item x="287"/>
        <item x="252"/>
        <item x="44"/>
        <item x="212"/>
        <item x="75"/>
        <item x="39"/>
        <item x="250"/>
        <item x="176"/>
        <item x="178"/>
        <item x="192"/>
        <item x="86"/>
        <item x="104"/>
        <item x="188"/>
        <item x="41"/>
        <item x="127"/>
        <item x="45"/>
        <item x="286"/>
        <item x="150"/>
        <item x="131"/>
        <item x="245"/>
        <item x="173"/>
        <item x="196"/>
        <item x="126"/>
        <item x="190"/>
        <item x="237"/>
        <item x="43"/>
        <item x="294"/>
        <item x="28"/>
        <item x="186"/>
        <item x="34"/>
        <item x="35"/>
        <item x="54"/>
        <item x="143"/>
        <item x="42"/>
        <item x="7"/>
        <item x="284"/>
        <item x="160"/>
        <item x="142"/>
        <item x="69"/>
        <item x="46"/>
        <item x="74"/>
        <item x="230"/>
        <item x="256"/>
        <item x="89"/>
        <item x="18"/>
        <item x="297"/>
        <item x="67"/>
        <item x="117"/>
        <item x="242"/>
        <item x="154"/>
        <item x="61"/>
        <item x="62"/>
        <item x="251"/>
        <item x="225"/>
        <item x="276"/>
        <item x="15"/>
        <item x="101"/>
        <item x="99"/>
        <item x="26"/>
        <item x="214"/>
        <item x="170"/>
        <item x="6"/>
        <item x="83"/>
        <item x="70"/>
        <item x="97"/>
        <item x="289"/>
        <item x="171"/>
        <item x="272"/>
        <item x="299"/>
        <item x="200"/>
        <item x="123"/>
        <item x="232"/>
        <item x="269"/>
        <item x="114"/>
        <item x="79"/>
        <item x="165"/>
        <item x="244"/>
        <item x="109"/>
        <item x="161"/>
        <item x="155"/>
        <item x="158"/>
        <item x="248"/>
        <item x="153"/>
        <item x="115"/>
        <item x="199"/>
        <item x="103"/>
        <item x="1"/>
        <item x="88"/>
        <item x="260"/>
        <item x="179"/>
        <item x="139"/>
        <item x="106"/>
        <item x="231"/>
        <item x="282"/>
        <item x="273"/>
        <item x="121"/>
        <item x="285"/>
        <item x="20"/>
        <item x="141"/>
        <item x="56"/>
        <item x="218"/>
        <item x="148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9">
        <item x="3"/>
        <item x="6"/>
        <item x="1"/>
        <item x="2"/>
        <item x="5"/>
        <item x="7"/>
        <item x="4"/>
        <item x="0"/>
        <item t="default"/>
      </items>
    </pivotField>
    <pivotField axis="axisRow" compact="0" showAll="0">
      <items count="6">
        <item x="1"/>
        <item x="2"/>
        <item x="0"/>
        <item x="3"/>
        <item x="4"/>
        <item t="default"/>
      </items>
    </pivotField>
    <pivotField compact="0" numFmtId="185" showAll="0">
      <items count="47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t="default"/>
      </items>
    </pivotField>
    <pivotField compact="0" showAll="0">
      <items count="12">
        <item x="2"/>
        <item x="4"/>
        <item x="5"/>
        <item x="3"/>
        <item x="7"/>
        <item x="9"/>
        <item x="1"/>
        <item x="6"/>
        <item x="0"/>
        <item x="10"/>
        <item x="8"/>
        <item t="default"/>
      </items>
    </pivotField>
    <pivotField compact="0" showAll="0">
      <items count="111">
        <item x="74"/>
        <item x="1"/>
        <item x="2"/>
        <item x="3"/>
        <item x="4"/>
        <item x="5"/>
        <item x="6"/>
        <item x="7"/>
        <item x="8"/>
        <item x="9"/>
        <item x="10"/>
        <item x="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compact="0" numFmtId="184" showAll="0">
      <items count="100">
        <item x="34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5"/>
        <item x="36"/>
        <item x="37"/>
        <item x="38"/>
        <item x="39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53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0"/>
        <item x="40"/>
        <item x="72"/>
        <item t="default"/>
      </items>
    </pivotField>
    <pivotField compact="0" numFmtId="182" showAll="0">
      <items count="52">
        <item x="3"/>
        <item x="1"/>
        <item x="2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0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Employee_Name" fld="1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F13:G22" firstHeaderRow="1" firstDataRow="1" firstDataCol="1"/>
  <pivotFields count="11">
    <pivotField compact="0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compact="0" showAll="0">
      <items count="301">
        <item x="72"/>
        <item x="33"/>
        <item x="240"/>
        <item x="132"/>
        <item x="95"/>
        <item x="183"/>
        <item x="163"/>
        <item x="119"/>
        <item x="246"/>
        <item x="52"/>
        <item x="265"/>
        <item x="271"/>
        <item x="23"/>
        <item x="12"/>
        <item x="162"/>
        <item x="233"/>
        <item x="71"/>
        <item x="112"/>
        <item x="53"/>
        <item x="105"/>
        <item x="21"/>
        <item x="84"/>
        <item x="159"/>
        <item x="125"/>
        <item x="193"/>
        <item x="144"/>
        <item x="111"/>
        <item x="122"/>
        <item x="30"/>
        <item x="298"/>
        <item x="66"/>
        <item x="78"/>
        <item x="130"/>
        <item x="262"/>
        <item x="59"/>
        <item x="211"/>
        <item x="36"/>
        <item x="219"/>
        <item x="82"/>
        <item x="220"/>
        <item x="134"/>
        <item x="283"/>
        <item x="224"/>
        <item x="31"/>
        <item x="108"/>
        <item x="51"/>
        <item x="168"/>
        <item x="184"/>
        <item x="172"/>
        <item x="229"/>
        <item x="213"/>
        <item x="268"/>
        <item x="234"/>
        <item x="102"/>
        <item x="238"/>
        <item x="14"/>
        <item x="226"/>
        <item x="118"/>
        <item x="270"/>
        <item x="133"/>
        <item x="138"/>
        <item x="3"/>
        <item x="290"/>
        <item x="94"/>
        <item x="76"/>
        <item x="107"/>
        <item x="147"/>
        <item x="38"/>
        <item x="281"/>
        <item x="113"/>
        <item x="264"/>
        <item x="255"/>
        <item x="10"/>
        <item x="140"/>
        <item x="236"/>
        <item x="29"/>
        <item x="198"/>
        <item x="151"/>
        <item x="146"/>
        <item x="223"/>
        <item x="215"/>
        <item x="32"/>
        <item x="2"/>
        <item x="197"/>
        <item x="25"/>
        <item x="263"/>
        <item x="249"/>
        <item x="243"/>
        <item x="275"/>
        <item x="17"/>
        <item x="11"/>
        <item x="100"/>
        <item x="228"/>
        <item x="87"/>
        <item x="164"/>
        <item x="60"/>
        <item x="296"/>
        <item x="48"/>
        <item x="37"/>
        <item x="187"/>
        <item x="5"/>
        <item x="92"/>
        <item x="167"/>
        <item x="149"/>
        <item x="135"/>
        <item x="80"/>
        <item x="58"/>
        <item x="267"/>
        <item x="57"/>
        <item x="274"/>
        <item x="110"/>
        <item x="174"/>
        <item x="217"/>
        <item x="177"/>
        <item x="227"/>
        <item x="291"/>
        <item x="203"/>
        <item x="68"/>
        <item x="55"/>
        <item x="77"/>
        <item x="292"/>
        <item x="259"/>
        <item x="277"/>
        <item x="221"/>
        <item x="180"/>
        <item x="293"/>
        <item x="247"/>
        <item x="191"/>
        <item x="96"/>
        <item x="22"/>
        <item x="166"/>
        <item x="156"/>
        <item x="137"/>
        <item x="261"/>
        <item x="207"/>
        <item x="210"/>
        <item x="136"/>
        <item x="120"/>
        <item x="280"/>
        <item x="73"/>
        <item x="24"/>
        <item x="278"/>
        <item x="195"/>
        <item x="152"/>
        <item x="208"/>
        <item x="49"/>
        <item x="47"/>
        <item x="27"/>
        <item x="258"/>
        <item x="90"/>
        <item x="85"/>
        <item x="222"/>
        <item x="204"/>
        <item x="64"/>
        <item x="19"/>
        <item x="128"/>
        <item x="235"/>
        <item x="185"/>
        <item x="9"/>
        <item x="181"/>
        <item x="93"/>
        <item x="266"/>
        <item x="209"/>
        <item x="13"/>
        <item x="116"/>
        <item x="239"/>
        <item x="216"/>
        <item x="8"/>
        <item x="91"/>
        <item x="202"/>
        <item x="16"/>
        <item x="81"/>
        <item x="257"/>
        <item x="201"/>
        <item x="295"/>
        <item x="175"/>
        <item x="40"/>
        <item x="4"/>
        <item x="98"/>
        <item x="189"/>
        <item x="182"/>
        <item x="279"/>
        <item x="65"/>
        <item x="63"/>
        <item x="124"/>
        <item x="288"/>
        <item x="254"/>
        <item x="145"/>
        <item x="169"/>
        <item x="241"/>
        <item x="50"/>
        <item x="206"/>
        <item x="157"/>
        <item x="253"/>
        <item x="129"/>
        <item x="194"/>
        <item x="205"/>
        <item x="287"/>
        <item x="252"/>
        <item x="44"/>
        <item x="212"/>
        <item x="75"/>
        <item x="39"/>
        <item x="250"/>
        <item x="176"/>
        <item x="178"/>
        <item x="192"/>
        <item x="86"/>
        <item x="104"/>
        <item x="188"/>
        <item x="41"/>
        <item x="127"/>
        <item x="45"/>
        <item x="286"/>
        <item x="150"/>
        <item x="131"/>
        <item x="245"/>
        <item x="173"/>
        <item x="196"/>
        <item x="126"/>
        <item x="190"/>
        <item x="237"/>
        <item x="43"/>
        <item x="294"/>
        <item x="28"/>
        <item x="186"/>
        <item x="34"/>
        <item x="35"/>
        <item x="54"/>
        <item x="143"/>
        <item x="42"/>
        <item x="7"/>
        <item x="284"/>
        <item x="160"/>
        <item x="142"/>
        <item x="69"/>
        <item x="46"/>
        <item x="74"/>
        <item x="230"/>
        <item x="256"/>
        <item x="89"/>
        <item x="18"/>
        <item x="297"/>
        <item x="67"/>
        <item x="117"/>
        <item x="242"/>
        <item x="154"/>
        <item x="61"/>
        <item x="62"/>
        <item x="251"/>
        <item x="225"/>
        <item x="276"/>
        <item x="15"/>
        <item x="101"/>
        <item x="99"/>
        <item x="26"/>
        <item x="214"/>
        <item x="170"/>
        <item x="6"/>
        <item x="83"/>
        <item x="70"/>
        <item x="97"/>
        <item x="289"/>
        <item x="171"/>
        <item x="272"/>
        <item x="299"/>
        <item x="200"/>
        <item x="123"/>
        <item x="232"/>
        <item x="269"/>
        <item x="114"/>
        <item x="79"/>
        <item x="165"/>
        <item x="244"/>
        <item x="109"/>
        <item x="161"/>
        <item x="155"/>
        <item x="158"/>
        <item x="248"/>
        <item x="153"/>
        <item x="115"/>
        <item x="199"/>
        <item x="103"/>
        <item x="1"/>
        <item x="88"/>
        <item x="260"/>
        <item x="179"/>
        <item x="139"/>
        <item x="106"/>
        <item x="231"/>
        <item x="282"/>
        <item x="273"/>
        <item x="121"/>
        <item x="285"/>
        <item x="20"/>
        <item x="141"/>
        <item x="56"/>
        <item x="218"/>
        <item x="148"/>
        <item x="0"/>
        <item t="default"/>
      </items>
    </pivotField>
    <pivotField compact="0" showAll="0">
      <items count="3">
        <item x="0"/>
        <item x="1"/>
        <item t="default"/>
      </items>
    </pivotField>
    <pivotField axis="axisRow" compact="0" sortType="descending" showAll="0">
      <items count="9">
        <item x="4"/>
        <item x="7"/>
        <item x="5"/>
        <item x="2"/>
        <item x="1"/>
        <item x="6"/>
        <item x="3"/>
        <item x="0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6">
        <item x="1"/>
        <item x="2"/>
        <item x="0"/>
        <item x="3"/>
        <item x="4"/>
        <item t="default"/>
      </items>
    </pivotField>
    <pivotField compact="0" numFmtId="185" showAll="0">
      <items count="47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t="default"/>
      </items>
    </pivotField>
    <pivotField compact="0" showAll="0">
      <items count="12">
        <item x="2"/>
        <item x="4"/>
        <item x="5"/>
        <item x="3"/>
        <item x="7"/>
        <item x="9"/>
        <item x="1"/>
        <item x="6"/>
        <item x="0"/>
        <item x="10"/>
        <item x="8"/>
        <item t="default"/>
      </items>
    </pivotField>
    <pivotField compact="0" showAll="0">
      <items count="111">
        <item x="74"/>
        <item x="1"/>
        <item x="2"/>
        <item x="3"/>
        <item x="4"/>
        <item x="5"/>
        <item x="6"/>
        <item x="7"/>
        <item x="8"/>
        <item x="9"/>
        <item x="10"/>
        <item x="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dataField="1" compact="0" numFmtId="184" showAll="0">
      <items count="100">
        <item x="34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5"/>
        <item x="36"/>
        <item x="37"/>
        <item x="38"/>
        <item x="39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53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0"/>
        <item x="40"/>
        <item x="72"/>
        <item t="default"/>
      </items>
    </pivotField>
    <pivotField compact="0" numFmtId="182" showAll="0">
      <items count="52">
        <item x="3"/>
        <item x="1"/>
        <item x="2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0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3"/>
  </rowFields>
  <rowItems count="9">
    <i>
      <x v="7"/>
    </i>
    <i>
      <x v="4"/>
    </i>
    <i>
      <x v="3"/>
    </i>
    <i>
      <x v="6"/>
    </i>
    <i>
      <x v="1"/>
    </i>
    <i>
      <x v="5"/>
    </i>
    <i>
      <x v="2"/>
    </i>
    <i>
      <x/>
    </i>
    <i t="grand">
      <x/>
    </i>
  </rowItems>
  <colItems count="1">
    <i/>
  </colItems>
  <dataFields count="1">
    <dataField name="Average of Salary" fld="8" subtotal="average" baseField="0" baseItem="0"/>
  </dataFields>
  <formats count="6">
    <format dxfId="0">
      <pivotArea collapsedLevelsAreSubtotals="1" fieldPosition="0"/>
    </format>
    <format dxfId="1">
      <pivotArea collapsedLevelsAreSubtotals="1" fieldPosition="0"/>
    </format>
    <format dxfId="2">
      <pivotArea collapsedLevelsAreSubtotals="1" fieldPosition="0"/>
    </format>
    <format dxfId="3">
      <pivotArea collapsedLevelsAreSubtotals="1" fieldPosition="0"/>
    </format>
    <format dxfId="4">
      <pivotArea collapsedLevelsAreSubtotals="1" fieldPosition="0"/>
    </format>
    <format dxfId="5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I7:J118" firstHeaderRow="1" firstDataRow="1" firstDataCol="1"/>
  <pivotFields count="11">
    <pivotField dataField="1" compact="0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compact="0" showAll="0">
      <items count="301">
        <item x="72"/>
        <item x="33"/>
        <item x="240"/>
        <item x="132"/>
        <item x="95"/>
        <item x="183"/>
        <item x="163"/>
        <item x="119"/>
        <item x="246"/>
        <item x="52"/>
        <item x="265"/>
        <item x="271"/>
        <item x="23"/>
        <item x="12"/>
        <item x="162"/>
        <item x="233"/>
        <item x="71"/>
        <item x="112"/>
        <item x="53"/>
        <item x="105"/>
        <item x="21"/>
        <item x="84"/>
        <item x="159"/>
        <item x="125"/>
        <item x="193"/>
        <item x="144"/>
        <item x="111"/>
        <item x="122"/>
        <item x="30"/>
        <item x="298"/>
        <item x="66"/>
        <item x="78"/>
        <item x="130"/>
        <item x="262"/>
        <item x="59"/>
        <item x="211"/>
        <item x="36"/>
        <item x="219"/>
        <item x="82"/>
        <item x="220"/>
        <item x="134"/>
        <item x="283"/>
        <item x="224"/>
        <item x="31"/>
        <item x="108"/>
        <item x="51"/>
        <item x="168"/>
        <item x="184"/>
        <item x="172"/>
        <item x="229"/>
        <item x="213"/>
        <item x="268"/>
        <item x="234"/>
        <item x="102"/>
        <item x="238"/>
        <item x="14"/>
        <item x="226"/>
        <item x="118"/>
        <item x="270"/>
        <item x="133"/>
        <item x="138"/>
        <item x="3"/>
        <item x="290"/>
        <item x="94"/>
        <item x="76"/>
        <item x="107"/>
        <item x="147"/>
        <item x="38"/>
        <item x="281"/>
        <item x="113"/>
        <item x="264"/>
        <item x="255"/>
        <item x="10"/>
        <item x="140"/>
        <item x="236"/>
        <item x="29"/>
        <item x="198"/>
        <item x="151"/>
        <item x="146"/>
        <item x="223"/>
        <item x="215"/>
        <item x="32"/>
        <item x="2"/>
        <item x="197"/>
        <item x="25"/>
        <item x="263"/>
        <item x="249"/>
        <item x="243"/>
        <item x="275"/>
        <item x="17"/>
        <item x="11"/>
        <item x="100"/>
        <item x="228"/>
        <item x="87"/>
        <item x="164"/>
        <item x="60"/>
        <item x="296"/>
        <item x="48"/>
        <item x="37"/>
        <item x="187"/>
        <item x="5"/>
        <item x="92"/>
        <item x="167"/>
        <item x="149"/>
        <item x="135"/>
        <item x="80"/>
        <item x="58"/>
        <item x="267"/>
        <item x="57"/>
        <item x="274"/>
        <item x="110"/>
        <item x="174"/>
        <item x="217"/>
        <item x="177"/>
        <item x="227"/>
        <item x="291"/>
        <item x="203"/>
        <item x="68"/>
        <item x="55"/>
        <item x="77"/>
        <item x="292"/>
        <item x="259"/>
        <item x="277"/>
        <item x="221"/>
        <item x="180"/>
        <item x="293"/>
        <item x="247"/>
        <item x="191"/>
        <item x="96"/>
        <item x="22"/>
        <item x="166"/>
        <item x="156"/>
        <item x="137"/>
        <item x="261"/>
        <item x="207"/>
        <item x="210"/>
        <item x="136"/>
        <item x="120"/>
        <item x="280"/>
        <item x="73"/>
        <item x="24"/>
        <item x="278"/>
        <item x="195"/>
        <item x="152"/>
        <item x="208"/>
        <item x="49"/>
        <item x="47"/>
        <item x="27"/>
        <item x="258"/>
        <item x="90"/>
        <item x="85"/>
        <item x="222"/>
        <item x="204"/>
        <item x="64"/>
        <item x="19"/>
        <item x="128"/>
        <item x="235"/>
        <item x="185"/>
        <item x="9"/>
        <item x="181"/>
        <item x="93"/>
        <item x="266"/>
        <item x="209"/>
        <item x="13"/>
        <item x="116"/>
        <item x="239"/>
        <item x="216"/>
        <item x="8"/>
        <item x="91"/>
        <item x="202"/>
        <item x="16"/>
        <item x="81"/>
        <item x="257"/>
        <item x="201"/>
        <item x="295"/>
        <item x="175"/>
        <item x="40"/>
        <item x="4"/>
        <item x="98"/>
        <item x="189"/>
        <item x="182"/>
        <item x="279"/>
        <item x="65"/>
        <item x="63"/>
        <item x="124"/>
        <item x="288"/>
        <item x="254"/>
        <item x="145"/>
        <item x="169"/>
        <item x="241"/>
        <item x="50"/>
        <item x="206"/>
        <item x="157"/>
        <item x="253"/>
        <item x="129"/>
        <item x="194"/>
        <item x="205"/>
        <item x="287"/>
        <item x="252"/>
        <item x="44"/>
        <item x="212"/>
        <item x="75"/>
        <item x="39"/>
        <item x="250"/>
        <item x="176"/>
        <item x="178"/>
        <item x="192"/>
        <item x="86"/>
        <item x="104"/>
        <item x="188"/>
        <item x="41"/>
        <item x="127"/>
        <item x="45"/>
        <item x="286"/>
        <item x="150"/>
        <item x="131"/>
        <item x="245"/>
        <item x="173"/>
        <item x="196"/>
        <item x="126"/>
        <item x="190"/>
        <item x="237"/>
        <item x="43"/>
        <item x="294"/>
        <item x="28"/>
        <item x="186"/>
        <item x="34"/>
        <item x="35"/>
        <item x="54"/>
        <item x="143"/>
        <item x="42"/>
        <item x="7"/>
        <item x="284"/>
        <item x="160"/>
        <item x="142"/>
        <item x="69"/>
        <item x="46"/>
        <item x="74"/>
        <item x="230"/>
        <item x="256"/>
        <item x="89"/>
        <item x="18"/>
        <item x="297"/>
        <item x="67"/>
        <item x="117"/>
        <item x="242"/>
        <item x="154"/>
        <item x="61"/>
        <item x="62"/>
        <item x="251"/>
        <item x="225"/>
        <item x="276"/>
        <item x="15"/>
        <item x="101"/>
        <item x="99"/>
        <item x="26"/>
        <item x="214"/>
        <item x="170"/>
        <item x="6"/>
        <item x="83"/>
        <item x="70"/>
        <item x="97"/>
        <item x="289"/>
        <item x="171"/>
        <item x="272"/>
        <item x="299"/>
        <item x="200"/>
        <item x="123"/>
        <item x="232"/>
        <item x="269"/>
        <item x="114"/>
        <item x="79"/>
        <item x="165"/>
        <item x="244"/>
        <item x="109"/>
        <item x="161"/>
        <item x="155"/>
        <item x="158"/>
        <item x="248"/>
        <item x="153"/>
        <item x="115"/>
        <item x="199"/>
        <item x="103"/>
        <item x="1"/>
        <item x="88"/>
        <item x="260"/>
        <item x="179"/>
        <item x="139"/>
        <item x="106"/>
        <item x="231"/>
        <item x="282"/>
        <item x="273"/>
        <item x="121"/>
        <item x="285"/>
        <item x="20"/>
        <item x="141"/>
        <item x="56"/>
        <item x="218"/>
        <item x="148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9">
        <item x="3"/>
        <item x="6"/>
        <item x="1"/>
        <item x="2"/>
        <item x="5"/>
        <item x="7"/>
        <item x="4"/>
        <item x="0"/>
        <item t="default"/>
      </items>
    </pivotField>
    <pivotField compact="0" showAll="0">
      <items count="6">
        <item x="1"/>
        <item x="2"/>
        <item x="0"/>
        <item x="3"/>
        <item x="4"/>
        <item t="default"/>
      </items>
    </pivotField>
    <pivotField compact="0" numFmtId="185" showAll="0">
      <items count="47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t="default"/>
      </items>
    </pivotField>
    <pivotField compact="0" showAll="0">
      <items count="12">
        <item x="2"/>
        <item x="4"/>
        <item x="5"/>
        <item x="3"/>
        <item x="7"/>
        <item x="9"/>
        <item x="1"/>
        <item x="6"/>
        <item x="0"/>
        <item x="10"/>
        <item x="8"/>
        <item t="default"/>
      </items>
    </pivotField>
    <pivotField axis="axisRow" compact="0" showAll="0">
      <items count="111">
        <item x="74"/>
        <item x="1"/>
        <item x="2"/>
        <item x="3"/>
        <item x="4"/>
        <item x="5"/>
        <item x="6"/>
        <item x="7"/>
        <item x="8"/>
        <item x="9"/>
        <item x="10"/>
        <item x="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compact="0" numFmtId="184" showAll="0">
      <items count="100">
        <item x="34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5"/>
        <item x="36"/>
        <item x="37"/>
        <item x="38"/>
        <item x="39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53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0"/>
        <item x="40"/>
        <item x="72"/>
        <item t="default"/>
      </items>
    </pivotField>
    <pivotField compact="0" numFmtId="182" showAll="0">
      <items count="52">
        <item x="3"/>
        <item x="1"/>
        <item x="2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0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7"/>
  </rowFields>
  <rowItems count="1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 t="grand">
      <x/>
    </i>
  </rowItems>
  <colItems count="1">
    <i/>
  </colItems>
  <dataFields count="1">
    <dataField name="Count of Employee_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C27:D36" firstHeaderRow="1" firstDataRow="1" firstDataCol="1"/>
  <pivotFields count="11">
    <pivotField compact="0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compact="0" showAll="0">
      <items count="301">
        <item x="72"/>
        <item x="33"/>
        <item x="240"/>
        <item x="132"/>
        <item x="95"/>
        <item x="183"/>
        <item x="163"/>
        <item x="119"/>
        <item x="246"/>
        <item x="52"/>
        <item x="265"/>
        <item x="271"/>
        <item x="23"/>
        <item x="12"/>
        <item x="162"/>
        <item x="233"/>
        <item x="71"/>
        <item x="112"/>
        <item x="53"/>
        <item x="105"/>
        <item x="21"/>
        <item x="84"/>
        <item x="159"/>
        <item x="125"/>
        <item x="193"/>
        <item x="144"/>
        <item x="111"/>
        <item x="122"/>
        <item x="30"/>
        <item x="298"/>
        <item x="66"/>
        <item x="78"/>
        <item x="130"/>
        <item x="262"/>
        <item x="59"/>
        <item x="211"/>
        <item x="36"/>
        <item x="219"/>
        <item x="82"/>
        <item x="220"/>
        <item x="134"/>
        <item x="283"/>
        <item x="224"/>
        <item x="31"/>
        <item x="108"/>
        <item x="51"/>
        <item x="168"/>
        <item x="184"/>
        <item x="172"/>
        <item x="229"/>
        <item x="213"/>
        <item x="268"/>
        <item x="234"/>
        <item x="102"/>
        <item x="238"/>
        <item x="14"/>
        <item x="226"/>
        <item x="118"/>
        <item x="270"/>
        <item x="133"/>
        <item x="138"/>
        <item x="3"/>
        <item x="290"/>
        <item x="94"/>
        <item x="76"/>
        <item x="107"/>
        <item x="147"/>
        <item x="38"/>
        <item x="281"/>
        <item x="113"/>
        <item x="264"/>
        <item x="255"/>
        <item x="10"/>
        <item x="140"/>
        <item x="236"/>
        <item x="29"/>
        <item x="198"/>
        <item x="151"/>
        <item x="146"/>
        <item x="223"/>
        <item x="215"/>
        <item x="32"/>
        <item x="2"/>
        <item x="197"/>
        <item x="25"/>
        <item x="263"/>
        <item x="249"/>
        <item x="243"/>
        <item x="275"/>
        <item x="17"/>
        <item x="11"/>
        <item x="100"/>
        <item x="228"/>
        <item x="87"/>
        <item x="164"/>
        <item x="60"/>
        <item x="296"/>
        <item x="48"/>
        <item x="37"/>
        <item x="187"/>
        <item x="5"/>
        <item x="92"/>
        <item x="167"/>
        <item x="149"/>
        <item x="135"/>
        <item x="80"/>
        <item x="58"/>
        <item x="267"/>
        <item x="57"/>
        <item x="274"/>
        <item x="110"/>
        <item x="174"/>
        <item x="217"/>
        <item x="177"/>
        <item x="227"/>
        <item x="291"/>
        <item x="203"/>
        <item x="68"/>
        <item x="55"/>
        <item x="77"/>
        <item x="292"/>
        <item x="259"/>
        <item x="277"/>
        <item x="221"/>
        <item x="180"/>
        <item x="293"/>
        <item x="247"/>
        <item x="191"/>
        <item x="96"/>
        <item x="22"/>
        <item x="166"/>
        <item x="156"/>
        <item x="137"/>
        <item x="261"/>
        <item x="207"/>
        <item x="210"/>
        <item x="136"/>
        <item x="120"/>
        <item x="280"/>
        <item x="73"/>
        <item x="24"/>
        <item x="278"/>
        <item x="195"/>
        <item x="152"/>
        <item x="208"/>
        <item x="49"/>
        <item x="47"/>
        <item x="27"/>
        <item x="258"/>
        <item x="90"/>
        <item x="85"/>
        <item x="222"/>
        <item x="204"/>
        <item x="64"/>
        <item x="19"/>
        <item x="128"/>
        <item x="235"/>
        <item x="185"/>
        <item x="9"/>
        <item x="181"/>
        <item x="93"/>
        <item x="266"/>
        <item x="209"/>
        <item x="13"/>
        <item x="116"/>
        <item x="239"/>
        <item x="216"/>
        <item x="8"/>
        <item x="91"/>
        <item x="202"/>
        <item x="16"/>
        <item x="81"/>
        <item x="257"/>
        <item x="201"/>
        <item x="295"/>
        <item x="175"/>
        <item x="40"/>
        <item x="4"/>
        <item x="98"/>
        <item x="189"/>
        <item x="182"/>
        <item x="279"/>
        <item x="65"/>
        <item x="63"/>
        <item x="124"/>
        <item x="288"/>
        <item x="254"/>
        <item x="145"/>
        <item x="169"/>
        <item x="241"/>
        <item x="50"/>
        <item x="206"/>
        <item x="157"/>
        <item x="253"/>
        <item x="129"/>
        <item x="194"/>
        <item x="205"/>
        <item x="287"/>
        <item x="252"/>
        <item x="44"/>
        <item x="212"/>
        <item x="75"/>
        <item x="39"/>
        <item x="250"/>
        <item x="176"/>
        <item x="178"/>
        <item x="192"/>
        <item x="86"/>
        <item x="104"/>
        <item x="188"/>
        <item x="41"/>
        <item x="127"/>
        <item x="45"/>
        <item x="286"/>
        <item x="150"/>
        <item x="131"/>
        <item x="245"/>
        <item x="173"/>
        <item x="196"/>
        <item x="126"/>
        <item x="190"/>
        <item x="237"/>
        <item x="43"/>
        <item x="294"/>
        <item x="28"/>
        <item x="186"/>
        <item x="34"/>
        <item x="35"/>
        <item x="54"/>
        <item x="143"/>
        <item x="42"/>
        <item x="7"/>
        <item x="284"/>
        <item x="160"/>
        <item x="142"/>
        <item x="69"/>
        <item x="46"/>
        <item x="74"/>
        <item x="230"/>
        <item x="256"/>
        <item x="89"/>
        <item x="18"/>
        <item x="297"/>
        <item x="67"/>
        <item x="117"/>
        <item x="242"/>
        <item x="154"/>
        <item x="61"/>
        <item x="62"/>
        <item x="251"/>
        <item x="225"/>
        <item x="276"/>
        <item x="15"/>
        <item x="101"/>
        <item x="99"/>
        <item x="26"/>
        <item x="214"/>
        <item x="170"/>
        <item x="6"/>
        <item x="83"/>
        <item x="70"/>
        <item x="97"/>
        <item x="289"/>
        <item x="171"/>
        <item x="272"/>
        <item x="299"/>
        <item x="200"/>
        <item x="123"/>
        <item x="232"/>
        <item x="269"/>
        <item x="114"/>
        <item x="79"/>
        <item x="165"/>
        <item x="244"/>
        <item x="109"/>
        <item x="161"/>
        <item x="155"/>
        <item x="158"/>
        <item x="248"/>
        <item x="153"/>
        <item x="115"/>
        <item x="199"/>
        <item x="103"/>
        <item x="1"/>
        <item x="88"/>
        <item x="260"/>
        <item x="179"/>
        <item x="139"/>
        <item x="106"/>
        <item x="231"/>
        <item x="282"/>
        <item x="273"/>
        <item x="121"/>
        <item x="285"/>
        <item x="20"/>
        <item x="141"/>
        <item x="56"/>
        <item x="218"/>
        <item x="148"/>
        <item x="0"/>
        <item t="default"/>
      </items>
    </pivotField>
    <pivotField compact="0" showAll="0">
      <items count="3">
        <item x="0"/>
        <item x="1"/>
        <item t="default"/>
      </items>
    </pivotField>
    <pivotField axis="axisRow" compact="0" sortType="descending" showAll="0">
      <items count="9">
        <item x="3"/>
        <item x="6"/>
        <item x="1"/>
        <item x="2"/>
        <item x="5"/>
        <item x="7"/>
        <item x="4"/>
        <item x="0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6">
        <item x="1"/>
        <item x="2"/>
        <item x="0"/>
        <item x="3"/>
        <item x="4"/>
        <item t="default"/>
      </items>
    </pivotField>
    <pivotField compact="0" numFmtId="185" showAll="0">
      <items count="47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t="default"/>
      </items>
    </pivotField>
    <pivotField compact="0" showAll="0">
      <items count="12">
        <item x="2"/>
        <item x="4"/>
        <item x="5"/>
        <item x="3"/>
        <item x="7"/>
        <item x="9"/>
        <item x="1"/>
        <item x="6"/>
        <item x="0"/>
        <item x="10"/>
        <item x="8"/>
        <item t="default"/>
      </items>
    </pivotField>
    <pivotField compact="0" showAll="0">
      <items count="111">
        <item x="74"/>
        <item x="1"/>
        <item x="2"/>
        <item x="3"/>
        <item x="4"/>
        <item x="5"/>
        <item x="6"/>
        <item x="7"/>
        <item x="8"/>
        <item x="9"/>
        <item x="10"/>
        <item x="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compact="0" numFmtId="184" showAll="0">
      <items count="100">
        <item x="34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5"/>
        <item x="36"/>
        <item x="37"/>
        <item x="38"/>
        <item x="39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53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0"/>
        <item x="40"/>
        <item x="72"/>
        <item t="default"/>
      </items>
    </pivotField>
    <pivotField dataField="1" compact="0" numFmtId="182" showAll="0">
      <items count="52">
        <item x="3"/>
        <item x="1"/>
        <item x="2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0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3"/>
  </rowFields>
  <rowItems count="9">
    <i>
      <x v="7"/>
    </i>
    <i>
      <x v="4"/>
    </i>
    <i>
      <x v="5"/>
    </i>
    <i>
      <x v="2"/>
    </i>
    <i>
      <x/>
    </i>
    <i>
      <x v="6"/>
    </i>
    <i>
      <x v="1"/>
    </i>
    <i>
      <x v="3"/>
    </i>
    <i t="grand">
      <x/>
    </i>
  </rowItems>
  <colItems count="1">
    <i/>
  </colItems>
  <dataFields count="1">
    <dataField name="Average of Performance_Score" fld="9" subtotal="average" baseField="0" baseItem="0"/>
  </dataFields>
  <formats count="7">
    <format dxfId="6">
      <pivotArea collapsedLevelsAreSubtotals="1" fieldPosition="0"/>
    </format>
    <format dxfId="7">
      <pivotArea collapsedLevelsAreSubtotals="1" fieldPosition="0"/>
    </format>
    <format dxfId="8">
      <pivotArea collapsedLevelsAreSubtotals="1" fieldPosition="0"/>
    </format>
    <format dxfId="9">
      <pivotArea collapsedLevelsAreSubtotals="1" fieldPosition="0"/>
    </format>
    <format dxfId="10">
      <pivotArea collapsedLevelsAreSubtotals="1" fieldPosition="0"/>
    </format>
    <format dxfId="11">
      <pivotArea collapsedLevelsAreSubtotals="1" fieldPosition="0"/>
    </format>
    <format dxfId="12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F24:G36" firstHeaderRow="1" firstDataRow="1" firstDataCol="1"/>
  <pivotFields count="11">
    <pivotField dataField="1" compact="0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compact="0" showAll="0">
      <items count="301">
        <item x="72"/>
        <item x="33"/>
        <item x="240"/>
        <item x="132"/>
        <item x="95"/>
        <item x="183"/>
        <item x="163"/>
        <item x="119"/>
        <item x="246"/>
        <item x="52"/>
        <item x="265"/>
        <item x="271"/>
        <item x="23"/>
        <item x="12"/>
        <item x="162"/>
        <item x="233"/>
        <item x="71"/>
        <item x="112"/>
        <item x="53"/>
        <item x="105"/>
        <item x="21"/>
        <item x="84"/>
        <item x="159"/>
        <item x="125"/>
        <item x="193"/>
        <item x="144"/>
        <item x="111"/>
        <item x="122"/>
        <item x="30"/>
        <item x="298"/>
        <item x="66"/>
        <item x="78"/>
        <item x="130"/>
        <item x="262"/>
        <item x="59"/>
        <item x="211"/>
        <item x="36"/>
        <item x="219"/>
        <item x="82"/>
        <item x="220"/>
        <item x="134"/>
        <item x="283"/>
        <item x="224"/>
        <item x="31"/>
        <item x="108"/>
        <item x="51"/>
        <item x="168"/>
        <item x="184"/>
        <item x="172"/>
        <item x="229"/>
        <item x="213"/>
        <item x="268"/>
        <item x="234"/>
        <item x="102"/>
        <item x="238"/>
        <item x="14"/>
        <item x="226"/>
        <item x="118"/>
        <item x="270"/>
        <item x="133"/>
        <item x="138"/>
        <item x="3"/>
        <item x="290"/>
        <item x="94"/>
        <item x="76"/>
        <item x="107"/>
        <item x="147"/>
        <item x="38"/>
        <item x="281"/>
        <item x="113"/>
        <item x="264"/>
        <item x="255"/>
        <item x="10"/>
        <item x="140"/>
        <item x="236"/>
        <item x="29"/>
        <item x="198"/>
        <item x="151"/>
        <item x="146"/>
        <item x="223"/>
        <item x="215"/>
        <item x="32"/>
        <item x="2"/>
        <item x="197"/>
        <item x="25"/>
        <item x="263"/>
        <item x="249"/>
        <item x="243"/>
        <item x="275"/>
        <item x="17"/>
        <item x="11"/>
        <item x="100"/>
        <item x="228"/>
        <item x="87"/>
        <item x="164"/>
        <item x="60"/>
        <item x="296"/>
        <item x="48"/>
        <item x="37"/>
        <item x="187"/>
        <item x="5"/>
        <item x="92"/>
        <item x="167"/>
        <item x="149"/>
        <item x="135"/>
        <item x="80"/>
        <item x="58"/>
        <item x="267"/>
        <item x="57"/>
        <item x="274"/>
        <item x="110"/>
        <item x="174"/>
        <item x="217"/>
        <item x="177"/>
        <item x="227"/>
        <item x="291"/>
        <item x="203"/>
        <item x="68"/>
        <item x="55"/>
        <item x="77"/>
        <item x="292"/>
        <item x="259"/>
        <item x="277"/>
        <item x="221"/>
        <item x="180"/>
        <item x="293"/>
        <item x="247"/>
        <item x="191"/>
        <item x="96"/>
        <item x="22"/>
        <item x="166"/>
        <item x="156"/>
        <item x="137"/>
        <item x="261"/>
        <item x="207"/>
        <item x="210"/>
        <item x="136"/>
        <item x="120"/>
        <item x="280"/>
        <item x="73"/>
        <item x="24"/>
        <item x="278"/>
        <item x="195"/>
        <item x="152"/>
        <item x="208"/>
        <item x="49"/>
        <item x="47"/>
        <item x="27"/>
        <item x="258"/>
        <item x="90"/>
        <item x="85"/>
        <item x="222"/>
        <item x="204"/>
        <item x="64"/>
        <item x="19"/>
        <item x="128"/>
        <item x="235"/>
        <item x="185"/>
        <item x="9"/>
        <item x="181"/>
        <item x="93"/>
        <item x="266"/>
        <item x="209"/>
        <item x="13"/>
        <item x="116"/>
        <item x="239"/>
        <item x="216"/>
        <item x="8"/>
        <item x="91"/>
        <item x="202"/>
        <item x="16"/>
        <item x="81"/>
        <item x="257"/>
        <item x="201"/>
        <item x="295"/>
        <item x="175"/>
        <item x="40"/>
        <item x="4"/>
        <item x="98"/>
        <item x="189"/>
        <item x="182"/>
        <item x="279"/>
        <item x="65"/>
        <item x="63"/>
        <item x="124"/>
        <item x="288"/>
        <item x="254"/>
        <item x="145"/>
        <item x="169"/>
        <item x="241"/>
        <item x="50"/>
        <item x="206"/>
        <item x="157"/>
        <item x="253"/>
        <item x="129"/>
        <item x="194"/>
        <item x="205"/>
        <item x="287"/>
        <item x="252"/>
        <item x="44"/>
        <item x="212"/>
        <item x="75"/>
        <item x="39"/>
        <item x="250"/>
        <item x="176"/>
        <item x="178"/>
        <item x="192"/>
        <item x="86"/>
        <item x="104"/>
        <item x="188"/>
        <item x="41"/>
        <item x="127"/>
        <item x="45"/>
        <item x="286"/>
        <item x="150"/>
        <item x="131"/>
        <item x="245"/>
        <item x="173"/>
        <item x="196"/>
        <item x="126"/>
        <item x="190"/>
        <item x="237"/>
        <item x="43"/>
        <item x="294"/>
        <item x="28"/>
        <item x="186"/>
        <item x="34"/>
        <item x="35"/>
        <item x="54"/>
        <item x="143"/>
        <item x="42"/>
        <item x="7"/>
        <item x="284"/>
        <item x="160"/>
        <item x="142"/>
        <item x="69"/>
        <item x="46"/>
        <item x="74"/>
        <item x="230"/>
        <item x="256"/>
        <item x="89"/>
        <item x="18"/>
        <item x="297"/>
        <item x="67"/>
        <item x="117"/>
        <item x="242"/>
        <item x="154"/>
        <item x="61"/>
        <item x="62"/>
        <item x="251"/>
        <item x="225"/>
        <item x="276"/>
        <item x="15"/>
        <item x="101"/>
        <item x="99"/>
        <item x="26"/>
        <item x="214"/>
        <item x="170"/>
        <item x="6"/>
        <item x="83"/>
        <item x="70"/>
        <item x="97"/>
        <item x="289"/>
        <item x="171"/>
        <item x="272"/>
        <item x="299"/>
        <item x="200"/>
        <item x="123"/>
        <item x="232"/>
        <item x="269"/>
        <item x="114"/>
        <item x="79"/>
        <item x="165"/>
        <item x="244"/>
        <item x="109"/>
        <item x="161"/>
        <item x="155"/>
        <item x="158"/>
        <item x="248"/>
        <item x="153"/>
        <item x="115"/>
        <item x="199"/>
        <item x="103"/>
        <item x="1"/>
        <item x="88"/>
        <item x="260"/>
        <item x="179"/>
        <item x="139"/>
        <item x="106"/>
        <item x="231"/>
        <item x="282"/>
        <item x="273"/>
        <item x="121"/>
        <item x="285"/>
        <item x="20"/>
        <item x="141"/>
        <item x="56"/>
        <item x="218"/>
        <item x="148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9">
        <item x="3"/>
        <item x="6"/>
        <item x="1"/>
        <item x="2"/>
        <item x="5"/>
        <item x="7"/>
        <item x="4"/>
        <item x="0"/>
        <item t="default"/>
      </items>
    </pivotField>
    <pivotField compact="0" showAll="0">
      <items count="6">
        <item x="1"/>
        <item x="2"/>
        <item x="0"/>
        <item x="3"/>
        <item x="4"/>
        <item t="default"/>
      </items>
    </pivotField>
    <pivotField compact="0" numFmtId="185" showAll="0">
      <items count="47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t="default"/>
      </items>
    </pivotField>
    <pivotField axis="axisRow" compact="0" showAll="0">
      <items count="12">
        <item x="2"/>
        <item x="4"/>
        <item x="5"/>
        <item x="3"/>
        <item x="7"/>
        <item x="9"/>
        <item x="1"/>
        <item x="6"/>
        <item x="0"/>
        <item x="10"/>
        <item x="8"/>
        <item t="default"/>
      </items>
    </pivotField>
    <pivotField compact="0" showAll="0">
      <items count="111">
        <item x="74"/>
        <item x="1"/>
        <item x="2"/>
        <item x="3"/>
        <item x="4"/>
        <item x="5"/>
        <item x="6"/>
        <item x="7"/>
        <item x="8"/>
        <item x="9"/>
        <item x="10"/>
        <item x="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compact="0" numFmtId="184" showAll="0">
      <items count="100">
        <item x="34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5"/>
        <item x="36"/>
        <item x="37"/>
        <item x="38"/>
        <item x="39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53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0"/>
        <item x="40"/>
        <item x="72"/>
        <item t="default"/>
      </items>
    </pivotField>
    <pivotField compact="0" numFmtId="182" showAll="0">
      <items count="52">
        <item x="3"/>
        <item x="1"/>
        <item x="2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0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6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Employee_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C38:D41" firstHeaderRow="1" firstDataRow="1" firstDataCol="1"/>
  <pivotFields count="11">
    <pivotField compact="0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dataField="1" compact="0" showAll="0">
      <items count="301">
        <item x="72"/>
        <item x="33"/>
        <item x="240"/>
        <item x="132"/>
        <item x="95"/>
        <item x="183"/>
        <item x="163"/>
        <item x="119"/>
        <item x="246"/>
        <item x="52"/>
        <item x="265"/>
        <item x="271"/>
        <item x="23"/>
        <item x="12"/>
        <item x="162"/>
        <item x="233"/>
        <item x="71"/>
        <item x="112"/>
        <item x="53"/>
        <item x="105"/>
        <item x="21"/>
        <item x="84"/>
        <item x="159"/>
        <item x="125"/>
        <item x="193"/>
        <item x="144"/>
        <item x="111"/>
        <item x="122"/>
        <item x="30"/>
        <item x="298"/>
        <item x="66"/>
        <item x="78"/>
        <item x="130"/>
        <item x="262"/>
        <item x="59"/>
        <item x="211"/>
        <item x="36"/>
        <item x="219"/>
        <item x="82"/>
        <item x="220"/>
        <item x="134"/>
        <item x="283"/>
        <item x="224"/>
        <item x="31"/>
        <item x="108"/>
        <item x="51"/>
        <item x="168"/>
        <item x="184"/>
        <item x="172"/>
        <item x="229"/>
        <item x="213"/>
        <item x="268"/>
        <item x="234"/>
        <item x="102"/>
        <item x="238"/>
        <item x="14"/>
        <item x="226"/>
        <item x="118"/>
        <item x="270"/>
        <item x="133"/>
        <item x="138"/>
        <item x="3"/>
        <item x="290"/>
        <item x="94"/>
        <item x="76"/>
        <item x="107"/>
        <item x="147"/>
        <item x="38"/>
        <item x="281"/>
        <item x="113"/>
        <item x="264"/>
        <item x="255"/>
        <item x="10"/>
        <item x="140"/>
        <item x="236"/>
        <item x="29"/>
        <item x="198"/>
        <item x="151"/>
        <item x="146"/>
        <item x="223"/>
        <item x="215"/>
        <item x="32"/>
        <item x="2"/>
        <item x="197"/>
        <item x="25"/>
        <item x="263"/>
        <item x="249"/>
        <item x="243"/>
        <item x="275"/>
        <item x="17"/>
        <item x="11"/>
        <item x="100"/>
        <item x="228"/>
        <item x="87"/>
        <item x="164"/>
        <item x="60"/>
        <item x="296"/>
        <item x="48"/>
        <item x="37"/>
        <item x="187"/>
        <item x="5"/>
        <item x="92"/>
        <item x="167"/>
        <item x="149"/>
        <item x="135"/>
        <item x="80"/>
        <item x="58"/>
        <item x="267"/>
        <item x="57"/>
        <item x="274"/>
        <item x="110"/>
        <item x="174"/>
        <item x="217"/>
        <item x="177"/>
        <item x="227"/>
        <item x="291"/>
        <item x="203"/>
        <item x="68"/>
        <item x="55"/>
        <item x="77"/>
        <item x="292"/>
        <item x="259"/>
        <item x="277"/>
        <item x="221"/>
        <item x="180"/>
        <item x="293"/>
        <item x="247"/>
        <item x="191"/>
        <item x="96"/>
        <item x="22"/>
        <item x="166"/>
        <item x="156"/>
        <item x="137"/>
        <item x="261"/>
        <item x="207"/>
        <item x="210"/>
        <item x="136"/>
        <item x="120"/>
        <item x="280"/>
        <item x="73"/>
        <item x="24"/>
        <item x="278"/>
        <item x="195"/>
        <item x="152"/>
        <item x="208"/>
        <item x="49"/>
        <item x="47"/>
        <item x="27"/>
        <item x="258"/>
        <item x="90"/>
        <item x="85"/>
        <item x="222"/>
        <item x="204"/>
        <item x="64"/>
        <item x="19"/>
        <item x="128"/>
        <item x="235"/>
        <item x="185"/>
        <item x="9"/>
        <item x="181"/>
        <item x="93"/>
        <item x="266"/>
        <item x="209"/>
        <item x="13"/>
        <item x="116"/>
        <item x="239"/>
        <item x="216"/>
        <item x="8"/>
        <item x="91"/>
        <item x="202"/>
        <item x="16"/>
        <item x="81"/>
        <item x="257"/>
        <item x="201"/>
        <item x="295"/>
        <item x="175"/>
        <item x="40"/>
        <item x="4"/>
        <item x="98"/>
        <item x="189"/>
        <item x="182"/>
        <item x="279"/>
        <item x="65"/>
        <item x="63"/>
        <item x="124"/>
        <item x="288"/>
        <item x="254"/>
        <item x="145"/>
        <item x="169"/>
        <item x="241"/>
        <item x="50"/>
        <item x="206"/>
        <item x="157"/>
        <item x="253"/>
        <item x="129"/>
        <item x="194"/>
        <item x="205"/>
        <item x="287"/>
        <item x="252"/>
        <item x="44"/>
        <item x="212"/>
        <item x="75"/>
        <item x="39"/>
        <item x="250"/>
        <item x="176"/>
        <item x="178"/>
        <item x="192"/>
        <item x="86"/>
        <item x="104"/>
        <item x="188"/>
        <item x="41"/>
        <item x="127"/>
        <item x="45"/>
        <item x="286"/>
        <item x="150"/>
        <item x="131"/>
        <item x="245"/>
        <item x="173"/>
        <item x="196"/>
        <item x="126"/>
        <item x="190"/>
        <item x="237"/>
        <item x="43"/>
        <item x="294"/>
        <item x="28"/>
        <item x="186"/>
        <item x="34"/>
        <item x="35"/>
        <item x="54"/>
        <item x="143"/>
        <item x="42"/>
        <item x="7"/>
        <item x="284"/>
        <item x="160"/>
        <item x="142"/>
        <item x="69"/>
        <item x="46"/>
        <item x="74"/>
        <item x="230"/>
        <item x="256"/>
        <item x="89"/>
        <item x="18"/>
        <item x="297"/>
        <item x="67"/>
        <item x="117"/>
        <item x="242"/>
        <item x="154"/>
        <item x="61"/>
        <item x="62"/>
        <item x="251"/>
        <item x="225"/>
        <item x="276"/>
        <item x="15"/>
        <item x="101"/>
        <item x="99"/>
        <item x="26"/>
        <item x="214"/>
        <item x="170"/>
        <item x="6"/>
        <item x="83"/>
        <item x="70"/>
        <item x="97"/>
        <item x="289"/>
        <item x="171"/>
        <item x="272"/>
        <item x="299"/>
        <item x="200"/>
        <item x="123"/>
        <item x="232"/>
        <item x="269"/>
        <item x="114"/>
        <item x="79"/>
        <item x="165"/>
        <item x="244"/>
        <item x="109"/>
        <item x="161"/>
        <item x="155"/>
        <item x="158"/>
        <item x="248"/>
        <item x="153"/>
        <item x="115"/>
        <item x="199"/>
        <item x="103"/>
        <item x="1"/>
        <item x="88"/>
        <item x="260"/>
        <item x="179"/>
        <item x="139"/>
        <item x="106"/>
        <item x="231"/>
        <item x="282"/>
        <item x="273"/>
        <item x="121"/>
        <item x="285"/>
        <item x="20"/>
        <item x="141"/>
        <item x="56"/>
        <item x="218"/>
        <item x="148"/>
        <item x="0"/>
        <item t="default"/>
      </items>
    </pivotField>
    <pivotField axis="axisRow" compact="0" showAll="0">
      <items count="3">
        <item x="0"/>
        <item x="1"/>
        <item t="default"/>
      </items>
    </pivotField>
    <pivotField compact="0" showAll="0">
      <items count="9">
        <item x="3"/>
        <item x="6"/>
        <item x="1"/>
        <item x="2"/>
        <item x="5"/>
        <item x="7"/>
        <item x="4"/>
        <item x="0"/>
        <item t="default"/>
      </items>
    </pivotField>
    <pivotField compact="0" showAll="0">
      <items count="6">
        <item x="1"/>
        <item x="2"/>
        <item x="0"/>
        <item x="3"/>
        <item x="4"/>
        <item t="default"/>
      </items>
    </pivotField>
    <pivotField compact="0" numFmtId="185" showAll="0">
      <items count="47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t="default"/>
      </items>
    </pivotField>
    <pivotField compact="0" showAll="0">
      <items count="12">
        <item x="2"/>
        <item x="4"/>
        <item x="5"/>
        <item x="3"/>
        <item x="7"/>
        <item x="9"/>
        <item x="1"/>
        <item x="6"/>
        <item x="0"/>
        <item x="10"/>
        <item x="8"/>
        <item t="default"/>
      </items>
    </pivotField>
    <pivotField compact="0" showAll="0">
      <items count="111">
        <item x="74"/>
        <item x="1"/>
        <item x="2"/>
        <item x="3"/>
        <item x="4"/>
        <item x="5"/>
        <item x="6"/>
        <item x="7"/>
        <item x="8"/>
        <item x="9"/>
        <item x="10"/>
        <item x="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compact="0" numFmtId="184" showAll="0">
      <items count="100">
        <item x="34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5"/>
        <item x="36"/>
        <item x="37"/>
        <item x="38"/>
        <item x="39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53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0"/>
        <item x="40"/>
        <item x="72"/>
        <item t="default"/>
      </items>
    </pivotField>
    <pivotField compact="0" numFmtId="182" showAll="0">
      <items count="52">
        <item x="3"/>
        <item x="1"/>
        <item x="2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0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Employee_Name" fld="1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C44:E55" firstHeaderRow="1" firstDataRow="1" firstDataCol="2"/>
  <pivotFields count="11">
    <pivotField compact="0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axis="axisRow" measureFilter="1" compact="0" showAll="0">
      <items count="301">
        <item x="72"/>
        <item x="33"/>
        <item x="240"/>
        <item x="132"/>
        <item x="95"/>
        <item x="183"/>
        <item x="163"/>
        <item x="119"/>
        <item x="246"/>
        <item x="52"/>
        <item x="265"/>
        <item x="271"/>
        <item x="23"/>
        <item x="12"/>
        <item x="162"/>
        <item x="233"/>
        <item x="71"/>
        <item x="112"/>
        <item x="53"/>
        <item x="105"/>
        <item x="21"/>
        <item x="84"/>
        <item x="159"/>
        <item x="125"/>
        <item x="193"/>
        <item x="144"/>
        <item x="111"/>
        <item x="122"/>
        <item x="30"/>
        <item x="298"/>
        <item x="66"/>
        <item x="78"/>
        <item x="130"/>
        <item x="262"/>
        <item x="59"/>
        <item x="211"/>
        <item x="36"/>
        <item x="219"/>
        <item x="82"/>
        <item x="220"/>
        <item x="134"/>
        <item x="283"/>
        <item x="224"/>
        <item x="31"/>
        <item x="108"/>
        <item x="51"/>
        <item x="168"/>
        <item x="184"/>
        <item x="172"/>
        <item x="229"/>
        <item x="213"/>
        <item x="268"/>
        <item x="234"/>
        <item x="102"/>
        <item x="238"/>
        <item x="14"/>
        <item x="226"/>
        <item x="118"/>
        <item x="270"/>
        <item x="133"/>
        <item x="138"/>
        <item x="3"/>
        <item x="290"/>
        <item x="94"/>
        <item x="76"/>
        <item x="107"/>
        <item x="147"/>
        <item x="38"/>
        <item x="281"/>
        <item x="113"/>
        <item x="264"/>
        <item x="255"/>
        <item x="10"/>
        <item x="140"/>
        <item x="236"/>
        <item x="29"/>
        <item x="198"/>
        <item x="151"/>
        <item x="146"/>
        <item x="223"/>
        <item x="215"/>
        <item x="32"/>
        <item x="2"/>
        <item x="197"/>
        <item x="25"/>
        <item x="263"/>
        <item x="249"/>
        <item x="243"/>
        <item x="275"/>
        <item x="17"/>
        <item x="11"/>
        <item x="100"/>
        <item x="228"/>
        <item x="87"/>
        <item x="164"/>
        <item x="60"/>
        <item x="296"/>
        <item x="48"/>
        <item x="37"/>
        <item x="187"/>
        <item x="5"/>
        <item x="92"/>
        <item x="167"/>
        <item x="149"/>
        <item x="135"/>
        <item x="80"/>
        <item x="58"/>
        <item x="267"/>
        <item x="57"/>
        <item x="274"/>
        <item x="110"/>
        <item x="174"/>
        <item x="217"/>
        <item x="177"/>
        <item x="227"/>
        <item x="291"/>
        <item x="203"/>
        <item x="68"/>
        <item x="55"/>
        <item x="77"/>
        <item x="292"/>
        <item x="259"/>
        <item x="277"/>
        <item x="221"/>
        <item x="180"/>
        <item x="293"/>
        <item x="247"/>
        <item x="191"/>
        <item x="96"/>
        <item x="22"/>
        <item x="166"/>
        <item x="156"/>
        <item x="137"/>
        <item x="261"/>
        <item x="207"/>
        <item x="210"/>
        <item x="136"/>
        <item x="120"/>
        <item x="280"/>
        <item x="73"/>
        <item x="24"/>
        <item x="278"/>
        <item x="195"/>
        <item x="152"/>
        <item x="208"/>
        <item x="49"/>
        <item x="47"/>
        <item x="27"/>
        <item x="258"/>
        <item x="90"/>
        <item x="85"/>
        <item x="222"/>
        <item x="204"/>
        <item x="64"/>
        <item x="19"/>
        <item x="128"/>
        <item x="235"/>
        <item x="185"/>
        <item x="9"/>
        <item x="181"/>
        <item x="93"/>
        <item x="266"/>
        <item x="209"/>
        <item x="13"/>
        <item x="116"/>
        <item x="239"/>
        <item x="216"/>
        <item x="8"/>
        <item x="91"/>
        <item x="202"/>
        <item x="16"/>
        <item x="81"/>
        <item x="257"/>
        <item x="201"/>
        <item x="295"/>
        <item x="175"/>
        <item x="40"/>
        <item x="4"/>
        <item x="98"/>
        <item x="189"/>
        <item x="182"/>
        <item x="279"/>
        <item x="65"/>
        <item x="63"/>
        <item x="124"/>
        <item x="288"/>
        <item x="254"/>
        <item x="145"/>
        <item x="169"/>
        <item x="241"/>
        <item x="50"/>
        <item x="206"/>
        <item x="157"/>
        <item x="253"/>
        <item x="129"/>
        <item x="194"/>
        <item x="205"/>
        <item x="287"/>
        <item x="252"/>
        <item x="44"/>
        <item x="212"/>
        <item x="75"/>
        <item x="39"/>
        <item x="250"/>
        <item x="176"/>
        <item x="178"/>
        <item x="192"/>
        <item x="86"/>
        <item x="104"/>
        <item x="188"/>
        <item x="41"/>
        <item x="127"/>
        <item x="45"/>
        <item x="286"/>
        <item x="150"/>
        <item x="131"/>
        <item x="245"/>
        <item x="173"/>
        <item x="196"/>
        <item x="126"/>
        <item x="190"/>
        <item x="237"/>
        <item x="43"/>
        <item x="294"/>
        <item x="28"/>
        <item x="186"/>
        <item x="34"/>
        <item x="35"/>
        <item x="54"/>
        <item x="143"/>
        <item x="42"/>
        <item x="7"/>
        <item x="284"/>
        <item x="160"/>
        <item x="142"/>
        <item x="69"/>
        <item x="46"/>
        <item x="74"/>
        <item x="230"/>
        <item x="256"/>
        <item x="89"/>
        <item x="18"/>
        <item x="297"/>
        <item x="67"/>
        <item x="117"/>
        <item x="242"/>
        <item x="154"/>
        <item x="61"/>
        <item x="62"/>
        <item x="251"/>
        <item x="225"/>
        <item x="276"/>
        <item x="15"/>
        <item x="101"/>
        <item x="99"/>
        <item x="26"/>
        <item x="214"/>
        <item x="170"/>
        <item x="6"/>
        <item x="83"/>
        <item x="70"/>
        <item x="97"/>
        <item x="289"/>
        <item x="171"/>
        <item x="272"/>
        <item x="299"/>
        <item x="200"/>
        <item x="123"/>
        <item x="232"/>
        <item x="269"/>
        <item x="114"/>
        <item x="79"/>
        <item x="165"/>
        <item x="244"/>
        <item x="109"/>
        <item x="161"/>
        <item x="155"/>
        <item x="158"/>
        <item x="248"/>
        <item x="153"/>
        <item x="115"/>
        <item x="199"/>
        <item x="103"/>
        <item x="1"/>
        <item x="88"/>
        <item x="260"/>
        <item x="179"/>
        <item x="139"/>
        <item x="106"/>
        <item x="231"/>
        <item x="282"/>
        <item x="273"/>
        <item x="121"/>
        <item x="285"/>
        <item x="20"/>
        <item x="141"/>
        <item x="56"/>
        <item x="218"/>
        <item x="148"/>
        <item x="0"/>
        <item t="default"/>
      </items>
    </pivotField>
    <pivotField compact="0" showAll="0">
      <items count="3">
        <item x="0"/>
        <item x="1"/>
        <item t="default"/>
      </items>
    </pivotField>
    <pivotField axis="axisRow" compact="0" showAll="0">
      <items count="9">
        <item x="3"/>
        <item x="6"/>
        <item x="1"/>
        <item x="2"/>
        <item x="5"/>
        <item x="7"/>
        <item x="4"/>
        <item x="0"/>
        <item t="default"/>
      </items>
    </pivotField>
    <pivotField compact="0" showAll="0">
      <items count="6">
        <item x="1"/>
        <item x="2"/>
        <item x="0"/>
        <item x="3"/>
        <item x="4"/>
        <item t="default"/>
      </items>
    </pivotField>
    <pivotField compact="0" numFmtId="185" showAll="0">
      <items count="47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t="default"/>
      </items>
    </pivotField>
    <pivotField compact="0" showAll="0">
      <items count="12">
        <item x="2"/>
        <item x="4"/>
        <item x="5"/>
        <item x="3"/>
        <item x="7"/>
        <item x="9"/>
        <item x="1"/>
        <item x="6"/>
        <item x="0"/>
        <item x="10"/>
        <item x="8"/>
        <item t="default"/>
      </items>
    </pivotField>
    <pivotField compact="0" showAll="0">
      <items count="111">
        <item x="74"/>
        <item x="1"/>
        <item x="2"/>
        <item x="3"/>
        <item x="4"/>
        <item x="5"/>
        <item x="6"/>
        <item x="7"/>
        <item x="8"/>
        <item x="9"/>
        <item x="10"/>
        <item x="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compact="0" numFmtId="184" showAll="0">
      <items count="100">
        <item x="34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5"/>
        <item x="36"/>
        <item x="37"/>
        <item x="38"/>
        <item x="39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53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0"/>
        <item x="40"/>
        <item x="72"/>
        <item t="default"/>
      </items>
    </pivotField>
    <pivotField dataField="1" compact="0" numFmtId="182" showAll="0">
      <items count="52">
        <item x="3"/>
        <item x="1"/>
        <item x="2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0"/>
        <item t="default"/>
      </items>
    </pivotField>
    <pivotField compact="0" showAll="0">
      <items count="3">
        <item x="0"/>
        <item x="1"/>
        <item t="default"/>
      </items>
    </pivotField>
  </pivotFields>
  <rowFields count="2">
    <field x="1"/>
    <field x="3"/>
  </rowFields>
  <rowItems count="11">
    <i>
      <x v="26"/>
    </i>
    <i r="1">
      <x v="5"/>
    </i>
    <i>
      <x v="62"/>
    </i>
    <i r="1">
      <x v="2"/>
    </i>
    <i>
      <x v="141"/>
    </i>
    <i r="1">
      <x v="4"/>
    </i>
    <i>
      <x v="253"/>
    </i>
    <i r="1">
      <x v="2"/>
    </i>
    <i>
      <x v="299"/>
    </i>
    <i r="1">
      <x v="7"/>
    </i>
    <i t="grand">
      <x/>
    </i>
  </rowItems>
  <colItems count="1">
    <i/>
  </colItems>
  <dataFields count="1">
    <dataField name="Average of Performance_Score" fld="9" subtotal="average" baseField="0" baseItem="0"/>
  </dataFields>
  <pivotTableStyleInfo name="PivotStyleLight16" showRowHeaders="1" showColHeaders="1" showLastColumn="1"/>
  <filters count="1">
    <filter evalOrder="-1" fld="1" iMeasureFld="0" id="2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I3:I4" firstHeaderRow="1" firstDataRow="1" firstDataCol="0"/>
  <pivotFields count="11">
    <pivotField compact="0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compact="0" showAll="0">
      <items count="301">
        <item x="72"/>
        <item x="33"/>
        <item x="240"/>
        <item x="132"/>
        <item x="95"/>
        <item x="183"/>
        <item x="163"/>
        <item x="119"/>
        <item x="246"/>
        <item x="52"/>
        <item x="265"/>
        <item x="271"/>
        <item x="23"/>
        <item x="12"/>
        <item x="162"/>
        <item x="233"/>
        <item x="71"/>
        <item x="112"/>
        <item x="53"/>
        <item x="105"/>
        <item x="21"/>
        <item x="84"/>
        <item x="159"/>
        <item x="125"/>
        <item x="193"/>
        <item x="144"/>
        <item x="111"/>
        <item x="122"/>
        <item x="30"/>
        <item x="298"/>
        <item x="66"/>
        <item x="78"/>
        <item x="130"/>
        <item x="262"/>
        <item x="59"/>
        <item x="211"/>
        <item x="36"/>
        <item x="219"/>
        <item x="82"/>
        <item x="220"/>
        <item x="134"/>
        <item x="283"/>
        <item x="224"/>
        <item x="31"/>
        <item x="108"/>
        <item x="51"/>
        <item x="168"/>
        <item x="184"/>
        <item x="172"/>
        <item x="229"/>
        <item x="213"/>
        <item x="268"/>
        <item x="234"/>
        <item x="102"/>
        <item x="238"/>
        <item x="14"/>
        <item x="226"/>
        <item x="118"/>
        <item x="270"/>
        <item x="133"/>
        <item x="138"/>
        <item x="3"/>
        <item x="290"/>
        <item x="94"/>
        <item x="76"/>
        <item x="107"/>
        <item x="147"/>
        <item x="38"/>
        <item x="281"/>
        <item x="113"/>
        <item x="264"/>
        <item x="255"/>
        <item x="10"/>
        <item x="140"/>
        <item x="236"/>
        <item x="29"/>
        <item x="198"/>
        <item x="151"/>
        <item x="146"/>
        <item x="223"/>
        <item x="215"/>
        <item x="32"/>
        <item x="2"/>
        <item x="197"/>
        <item x="25"/>
        <item x="263"/>
        <item x="249"/>
        <item x="243"/>
        <item x="275"/>
        <item x="17"/>
        <item x="11"/>
        <item x="100"/>
        <item x="228"/>
        <item x="87"/>
        <item x="164"/>
        <item x="60"/>
        <item x="296"/>
        <item x="48"/>
        <item x="37"/>
        <item x="187"/>
        <item x="5"/>
        <item x="92"/>
        <item x="167"/>
        <item x="149"/>
        <item x="135"/>
        <item x="80"/>
        <item x="58"/>
        <item x="267"/>
        <item x="57"/>
        <item x="274"/>
        <item x="110"/>
        <item x="174"/>
        <item x="217"/>
        <item x="177"/>
        <item x="227"/>
        <item x="291"/>
        <item x="203"/>
        <item x="68"/>
        <item x="55"/>
        <item x="77"/>
        <item x="292"/>
        <item x="259"/>
        <item x="277"/>
        <item x="221"/>
        <item x="180"/>
        <item x="293"/>
        <item x="247"/>
        <item x="191"/>
        <item x="96"/>
        <item x="22"/>
        <item x="166"/>
        <item x="156"/>
        <item x="137"/>
        <item x="261"/>
        <item x="207"/>
        <item x="210"/>
        <item x="136"/>
        <item x="120"/>
        <item x="280"/>
        <item x="73"/>
        <item x="24"/>
        <item x="278"/>
        <item x="195"/>
        <item x="152"/>
        <item x="208"/>
        <item x="49"/>
        <item x="47"/>
        <item x="27"/>
        <item x="258"/>
        <item x="90"/>
        <item x="85"/>
        <item x="222"/>
        <item x="204"/>
        <item x="64"/>
        <item x="19"/>
        <item x="128"/>
        <item x="235"/>
        <item x="185"/>
        <item x="9"/>
        <item x="181"/>
        <item x="93"/>
        <item x="266"/>
        <item x="209"/>
        <item x="13"/>
        <item x="116"/>
        <item x="239"/>
        <item x="216"/>
        <item x="8"/>
        <item x="91"/>
        <item x="202"/>
        <item x="16"/>
        <item x="81"/>
        <item x="257"/>
        <item x="201"/>
        <item x="295"/>
        <item x="175"/>
        <item x="40"/>
        <item x="4"/>
        <item x="98"/>
        <item x="189"/>
        <item x="182"/>
        <item x="279"/>
        <item x="65"/>
        <item x="63"/>
        <item x="124"/>
        <item x="288"/>
        <item x="254"/>
        <item x="145"/>
        <item x="169"/>
        <item x="241"/>
        <item x="50"/>
        <item x="206"/>
        <item x="157"/>
        <item x="253"/>
        <item x="129"/>
        <item x="194"/>
        <item x="205"/>
        <item x="287"/>
        <item x="252"/>
        <item x="44"/>
        <item x="212"/>
        <item x="75"/>
        <item x="39"/>
        <item x="250"/>
        <item x="176"/>
        <item x="178"/>
        <item x="192"/>
        <item x="86"/>
        <item x="104"/>
        <item x="188"/>
        <item x="41"/>
        <item x="127"/>
        <item x="45"/>
        <item x="286"/>
        <item x="150"/>
        <item x="131"/>
        <item x="245"/>
        <item x="173"/>
        <item x="196"/>
        <item x="126"/>
        <item x="190"/>
        <item x="237"/>
        <item x="43"/>
        <item x="294"/>
        <item x="28"/>
        <item x="186"/>
        <item x="34"/>
        <item x="35"/>
        <item x="54"/>
        <item x="143"/>
        <item x="42"/>
        <item x="7"/>
        <item x="284"/>
        <item x="160"/>
        <item x="142"/>
        <item x="69"/>
        <item x="46"/>
        <item x="74"/>
        <item x="230"/>
        <item x="256"/>
        <item x="89"/>
        <item x="18"/>
        <item x="297"/>
        <item x="67"/>
        <item x="117"/>
        <item x="242"/>
        <item x="154"/>
        <item x="61"/>
        <item x="62"/>
        <item x="251"/>
        <item x="225"/>
        <item x="276"/>
        <item x="15"/>
        <item x="101"/>
        <item x="99"/>
        <item x="26"/>
        <item x="214"/>
        <item x="170"/>
        <item x="6"/>
        <item x="83"/>
        <item x="70"/>
        <item x="97"/>
        <item x="289"/>
        <item x="171"/>
        <item x="272"/>
        <item x="299"/>
        <item x="200"/>
        <item x="123"/>
        <item x="232"/>
        <item x="269"/>
        <item x="114"/>
        <item x="79"/>
        <item x="165"/>
        <item x="244"/>
        <item x="109"/>
        <item x="161"/>
        <item x="155"/>
        <item x="158"/>
        <item x="248"/>
        <item x="153"/>
        <item x="115"/>
        <item x="199"/>
        <item x="103"/>
        <item x="1"/>
        <item x="88"/>
        <item x="260"/>
        <item x="179"/>
        <item x="139"/>
        <item x="106"/>
        <item x="231"/>
        <item x="282"/>
        <item x="273"/>
        <item x="121"/>
        <item x="285"/>
        <item x="20"/>
        <item x="141"/>
        <item x="56"/>
        <item x="218"/>
        <item x="148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9">
        <item x="3"/>
        <item x="6"/>
        <item x="1"/>
        <item x="2"/>
        <item x="5"/>
        <item x="7"/>
        <item x="4"/>
        <item x="0"/>
        <item t="default"/>
      </items>
    </pivotField>
    <pivotField compact="0" showAll="0">
      <items count="6">
        <item x="4"/>
        <item x="0"/>
        <item x="2"/>
        <item x="1"/>
        <item x="3"/>
        <item t="default"/>
      </items>
    </pivotField>
    <pivotField compact="0" numFmtId="185" showAll="0">
      <items count="478">
        <item x="433"/>
        <item x="58"/>
        <item x="2"/>
        <item x="343"/>
        <item x="354"/>
        <item x="472"/>
        <item x="161"/>
        <item x="233"/>
        <item x="437"/>
        <item x="71"/>
        <item x="138"/>
        <item x="98"/>
        <item x="205"/>
        <item x="404"/>
        <item x="456"/>
        <item x="45"/>
        <item x="350"/>
        <item x="193"/>
        <item x="445"/>
        <item x="450"/>
        <item x="11"/>
        <item x="188"/>
        <item x="89"/>
        <item x="213"/>
        <item x="285"/>
        <item x="384"/>
        <item x="422"/>
        <item x="414"/>
        <item x="258"/>
        <item x="20"/>
        <item x="169"/>
        <item x="17"/>
        <item x="260"/>
        <item x="68"/>
        <item x="156"/>
        <item x="307"/>
        <item x="311"/>
        <item x="362"/>
        <item x="82"/>
        <item x="23"/>
        <item x="133"/>
        <item x="425"/>
        <item x="34"/>
        <item x="373"/>
        <item x="470"/>
        <item x="182"/>
        <item x="369"/>
        <item x="245"/>
        <item x="393"/>
        <item x="230"/>
        <item x="313"/>
        <item x="130"/>
        <item x="145"/>
        <item x="331"/>
        <item x="261"/>
        <item x="160"/>
        <item x="475"/>
        <item x="256"/>
        <item x="225"/>
        <item x="270"/>
        <item x="159"/>
        <item x="176"/>
        <item x="63"/>
        <item x="386"/>
        <item x="365"/>
        <item x="154"/>
        <item x="468"/>
        <item x="41"/>
        <item x="452"/>
        <item x="187"/>
        <item x="429"/>
        <item x="166"/>
        <item x="216"/>
        <item x="37"/>
        <item x="35"/>
        <item x="105"/>
        <item x="314"/>
        <item x="6"/>
        <item x="7"/>
        <item x="67"/>
        <item x="453"/>
        <item x="178"/>
        <item x="405"/>
        <item x="324"/>
        <item x="395"/>
        <item x="207"/>
        <item x="372"/>
        <item x="388"/>
        <item x="444"/>
        <item x="303"/>
        <item x="153"/>
        <item x="88"/>
        <item x="474"/>
        <item x="294"/>
        <item x="103"/>
        <item x="272"/>
        <item x="396"/>
        <item x="84"/>
        <item x="246"/>
        <item x="226"/>
        <item x="375"/>
        <item x="378"/>
        <item x="181"/>
        <item x="467"/>
        <item x="209"/>
        <item x="385"/>
        <item x="352"/>
        <item x="316"/>
        <item x="239"/>
        <item x="139"/>
        <item x="344"/>
        <item x="419"/>
        <item x="380"/>
        <item x="454"/>
        <item x="46"/>
        <item x="394"/>
        <item x="340"/>
        <item x="8"/>
        <item x="131"/>
        <item x="382"/>
        <item x="264"/>
        <item x="284"/>
        <item x="298"/>
        <item x="172"/>
        <item x="221"/>
        <item x="283"/>
        <item x="305"/>
        <item x="196"/>
        <item x="357"/>
        <item x="406"/>
        <item x="249"/>
        <item x="250"/>
        <item x="356"/>
        <item x="38"/>
        <item x="48"/>
        <item x="446"/>
        <item x="297"/>
        <item x="355"/>
        <item x="418"/>
        <item x="368"/>
        <item x="140"/>
        <item x="152"/>
        <item x="287"/>
        <item x="109"/>
        <item x="336"/>
        <item x="55"/>
        <item x="174"/>
        <item x="346"/>
        <item x="5"/>
        <item x="208"/>
        <item x="247"/>
        <item x="121"/>
        <item x="33"/>
        <item x="53"/>
        <item x="86"/>
        <item x="168"/>
        <item x="339"/>
        <item x="389"/>
        <item x="56"/>
        <item x="413"/>
        <item x="275"/>
        <item x="102"/>
        <item x="115"/>
        <item x="220"/>
        <item x="464"/>
        <item x="421"/>
        <item x="52"/>
        <item x="391"/>
        <item x="44"/>
        <item x="110"/>
        <item x="39"/>
        <item x="392"/>
        <item x="79"/>
        <item x="164"/>
        <item x="80"/>
        <item x="459"/>
        <item x="3"/>
        <item x="212"/>
        <item x="214"/>
        <item x="175"/>
        <item x="165"/>
        <item x="377"/>
        <item x="42"/>
        <item x="141"/>
        <item x="136"/>
        <item x="127"/>
        <item x="203"/>
        <item x="325"/>
        <item x="180"/>
        <item x="197"/>
        <item x="271"/>
        <item x="204"/>
        <item x="118"/>
        <item x="235"/>
        <item x="449"/>
        <item x="12"/>
        <item x="447"/>
        <item x="293"/>
        <item x="28"/>
        <item x="347"/>
        <item x="317"/>
        <item x="397"/>
        <item x="299"/>
        <item x="123"/>
        <item x="274"/>
        <item x="31"/>
        <item x="211"/>
        <item x="281"/>
        <item x="184"/>
        <item x="351"/>
        <item x="190"/>
        <item x="162"/>
        <item x="142"/>
        <item x="25"/>
        <item x="326"/>
        <item x="75"/>
        <item x="91"/>
        <item x="76"/>
        <item x="434"/>
        <item x="201"/>
        <item x="183"/>
        <item x="327"/>
        <item x="219"/>
        <item x="157"/>
        <item x="117"/>
        <item x="200"/>
        <item x="179"/>
        <item x="171"/>
        <item x="321"/>
        <item x="430"/>
        <item x="353"/>
        <item x="155"/>
        <item x="457"/>
        <item x="106"/>
        <item x="59"/>
        <item x="72"/>
        <item x="114"/>
        <item x="93"/>
        <item x="399"/>
        <item x="18"/>
        <item x="312"/>
        <item x="252"/>
        <item x="194"/>
        <item x="144"/>
        <item x="128"/>
        <item x="62"/>
        <item x="27"/>
        <item x="320"/>
        <item x="81"/>
        <item x="292"/>
        <item x="97"/>
        <item x="218"/>
        <item x="455"/>
        <item x="223"/>
        <item x="310"/>
        <item x="463"/>
        <item x="228"/>
        <item x="189"/>
        <item x="267"/>
        <item x="113"/>
        <item x="403"/>
        <item x="50"/>
        <item x="10"/>
        <item x="22"/>
        <item x="70"/>
        <item x="265"/>
        <item x="64"/>
        <item x="66"/>
        <item x="441"/>
        <item x="104"/>
        <item x="26"/>
        <item x="4"/>
        <item x="191"/>
        <item x="170"/>
        <item x="60"/>
        <item x="40"/>
        <item x="323"/>
        <item x="286"/>
        <item x="349"/>
        <item x="73"/>
        <item x="29"/>
        <item x="366"/>
        <item x="334"/>
        <item x="408"/>
        <item x="224"/>
        <item x="276"/>
        <item x="427"/>
        <item x="387"/>
        <item x="288"/>
        <item x="85"/>
        <item x="158"/>
        <item x="348"/>
        <item x="329"/>
        <item x="295"/>
        <item x="177"/>
        <item x="16"/>
        <item x="398"/>
        <item x="1"/>
        <item x="390"/>
        <item x="146"/>
        <item x="439"/>
        <item x="90"/>
        <item x="54"/>
        <item x="410"/>
        <item x="15"/>
        <item x="291"/>
        <item x="240"/>
        <item x="77"/>
        <item x="119"/>
        <item x="51"/>
        <item x="215"/>
        <item x="92"/>
        <item x="337"/>
        <item x="374"/>
        <item x="116"/>
        <item x="100"/>
        <item x="424"/>
        <item x="315"/>
        <item x="217"/>
        <item x="259"/>
        <item x="473"/>
        <item x="436"/>
        <item x="243"/>
        <item x="242"/>
        <item x="24"/>
        <item x="277"/>
        <item x="9"/>
        <item x="151"/>
        <item x="32"/>
        <item x="120"/>
        <item x="282"/>
        <item x="129"/>
        <item x="173"/>
        <item x="47"/>
        <item x="255"/>
        <item x="167"/>
        <item x="469"/>
        <item x="411"/>
        <item x="94"/>
        <item x="290"/>
        <item x="198"/>
        <item x="319"/>
        <item x="101"/>
        <item x="186"/>
        <item x="134"/>
        <item x="451"/>
        <item x="438"/>
        <item x="206"/>
        <item x="318"/>
        <item x="280"/>
        <item x="19"/>
        <item x="359"/>
        <item x="241"/>
        <item x="262"/>
        <item x="125"/>
        <item x="263"/>
        <item x="448"/>
        <item x="435"/>
        <item x="432"/>
        <item x="126"/>
        <item x="278"/>
        <item x="0"/>
        <item x="423"/>
        <item x="364"/>
        <item x="257"/>
        <item x="83"/>
        <item x="309"/>
        <item x="192"/>
        <item x="13"/>
        <item x="308"/>
        <item x="253"/>
        <item x="99"/>
        <item x="458"/>
        <item x="333"/>
        <item x="476"/>
        <item x="111"/>
        <item x="431"/>
        <item x="379"/>
        <item x="471"/>
        <item x="440"/>
        <item x="112"/>
        <item x="237"/>
        <item x="335"/>
        <item x="202"/>
        <item x="210"/>
        <item x="238"/>
        <item x="149"/>
        <item x="302"/>
        <item x="36"/>
        <item x="279"/>
        <item x="304"/>
        <item x="199"/>
        <item x="415"/>
        <item x="132"/>
        <item x="96"/>
        <item x="412"/>
        <item x="360"/>
        <item x="248"/>
        <item x="147"/>
        <item x="74"/>
        <item x="417"/>
        <item x="371"/>
        <item x="401"/>
        <item x="185"/>
        <item x="232"/>
        <item x="466"/>
        <item x="332"/>
        <item x="163"/>
        <item x="234"/>
        <item x="269"/>
        <item x="289"/>
        <item x="78"/>
        <item x="370"/>
        <item x="30"/>
        <item x="122"/>
        <item x="407"/>
        <item x="341"/>
        <item x="328"/>
        <item x="61"/>
        <item x="358"/>
        <item x="43"/>
        <item x="222"/>
        <item x="87"/>
        <item x="409"/>
        <item x="108"/>
        <item x="69"/>
        <item x="342"/>
        <item x="400"/>
        <item x="195"/>
        <item x="57"/>
        <item x="251"/>
        <item x="229"/>
        <item x="460"/>
        <item x="49"/>
        <item x="330"/>
        <item x="124"/>
        <item x="443"/>
        <item x="296"/>
        <item x="21"/>
        <item x="442"/>
        <item x="95"/>
        <item x="268"/>
        <item x="266"/>
        <item x="254"/>
        <item x="306"/>
        <item x="376"/>
        <item x="462"/>
        <item x="461"/>
        <item x="244"/>
        <item x="135"/>
        <item x="150"/>
        <item x="236"/>
        <item x="65"/>
        <item x="428"/>
        <item x="143"/>
        <item x="426"/>
        <item x="383"/>
        <item x="137"/>
        <item x="148"/>
        <item x="14"/>
        <item x="361"/>
        <item x="273"/>
        <item x="338"/>
        <item x="416"/>
        <item x="345"/>
        <item x="465"/>
        <item x="322"/>
        <item x="367"/>
        <item x="301"/>
        <item x="420"/>
        <item x="402"/>
        <item x="363"/>
        <item x="231"/>
        <item x="381"/>
        <item x="300"/>
        <item x="227"/>
        <item x="107"/>
        <item t="default"/>
      </items>
    </pivotField>
    <pivotField compact="0" showAll="0">
      <items count="12">
        <item x="2"/>
        <item x="4"/>
        <item x="5"/>
        <item x="3"/>
        <item x="7"/>
        <item x="9"/>
        <item x="1"/>
        <item x="6"/>
        <item x="0"/>
        <item x="10"/>
        <item x="8"/>
        <item t="default"/>
      </items>
    </pivotField>
    <pivotField compact="0" showAll="0">
      <items count="111">
        <item x="66"/>
        <item x="103"/>
        <item x="100"/>
        <item x="12"/>
        <item x="46"/>
        <item x="95"/>
        <item x="104"/>
        <item x="96"/>
        <item x="18"/>
        <item x="38"/>
        <item x="43"/>
        <item x="48"/>
        <item x="55"/>
        <item x="35"/>
        <item x="24"/>
        <item x="84"/>
        <item x="50"/>
        <item x="60"/>
        <item x="29"/>
        <item x="92"/>
        <item x="90"/>
        <item x="68"/>
        <item x="108"/>
        <item x="67"/>
        <item x="62"/>
        <item x="11"/>
        <item x="52"/>
        <item x="74"/>
        <item x="98"/>
        <item x="73"/>
        <item x="16"/>
        <item x="79"/>
        <item x="59"/>
        <item x="37"/>
        <item x="76"/>
        <item x="71"/>
        <item x="8"/>
        <item x="97"/>
        <item x="63"/>
        <item x="58"/>
        <item x="39"/>
        <item x="13"/>
        <item x="1"/>
        <item x="54"/>
        <item x="93"/>
        <item x="23"/>
        <item x="101"/>
        <item x="32"/>
        <item x="4"/>
        <item x="9"/>
        <item x="69"/>
        <item x="99"/>
        <item x="88"/>
        <item x="105"/>
        <item x="61"/>
        <item x="21"/>
        <item x="15"/>
        <item x="44"/>
        <item x="65"/>
        <item x="82"/>
        <item x="70"/>
        <item x="51"/>
        <item x="20"/>
        <item x="83"/>
        <item x="25"/>
        <item x="72"/>
        <item x="22"/>
        <item x="0"/>
        <item x="75"/>
        <item x="34"/>
        <item x="85"/>
        <item x="3"/>
        <item x="31"/>
        <item x="40"/>
        <item x="64"/>
        <item x="42"/>
        <item x="26"/>
        <item x="5"/>
        <item x="41"/>
        <item x="102"/>
        <item x="30"/>
        <item x="89"/>
        <item x="86"/>
        <item x="78"/>
        <item x="7"/>
        <item x="80"/>
        <item x="106"/>
        <item x="87"/>
        <item x="53"/>
        <item x="56"/>
        <item x="91"/>
        <item x="6"/>
        <item x="28"/>
        <item x="33"/>
        <item x="45"/>
        <item x="81"/>
        <item x="77"/>
        <item x="94"/>
        <item x="27"/>
        <item x="19"/>
        <item x="47"/>
        <item x="14"/>
        <item x="17"/>
        <item x="57"/>
        <item x="10"/>
        <item x="36"/>
        <item x="109"/>
        <item x="49"/>
        <item x="107"/>
        <item x="2"/>
        <item t="default"/>
      </items>
    </pivotField>
    <pivotField dataField="1" compact="0" numFmtId="184" showAll="0">
      <items count="100">
        <item x="87"/>
        <item x="97"/>
        <item x="86"/>
        <item x="81"/>
        <item x="38"/>
        <item x="58"/>
        <item x="44"/>
        <item x="18"/>
        <item x="55"/>
        <item x="75"/>
        <item x="14"/>
        <item x="34"/>
        <item x="29"/>
        <item x="19"/>
        <item x="47"/>
        <item x="4"/>
        <item x="60"/>
        <item x="13"/>
        <item x="1"/>
        <item x="10"/>
        <item x="32"/>
        <item x="51"/>
        <item x="22"/>
        <item x="88"/>
        <item x="62"/>
        <item x="2"/>
        <item x="73"/>
        <item x="74"/>
        <item x="90"/>
        <item x="71"/>
        <item x="26"/>
        <item x="30"/>
        <item x="64"/>
        <item x="23"/>
        <item x="8"/>
        <item x="35"/>
        <item x="52"/>
        <item x="68"/>
        <item x="15"/>
        <item x="65"/>
        <item x="93"/>
        <item x="45"/>
        <item x="16"/>
        <item x="3"/>
        <item x="21"/>
        <item x="20"/>
        <item x="83"/>
        <item x="63"/>
        <item x="9"/>
        <item x="12"/>
        <item x="48"/>
        <item x="66"/>
        <item x="24"/>
        <item x="17"/>
        <item x="91"/>
        <item x="7"/>
        <item x="41"/>
        <item x="5"/>
        <item x="50"/>
        <item x="49"/>
        <item x="77"/>
        <item x="84"/>
        <item x="43"/>
        <item x="37"/>
        <item x="78"/>
        <item x="59"/>
        <item x="79"/>
        <item x="36"/>
        <item x="28"/>
        <item x="11"/>
        <item x="46"/>
        <item x="69"/>
        <item x="25"/>
        <item x="31"/>
        <item x="6"/>
        <item x="57"/>
        <item x="67"/>
        <item x="39"/>
        <item x="33"/>
        <item x="70"/>
        <item x="95"/>
        <item x="80"/>
        <item x="85"/>
        <item x="53"/>
        <item x="56"/>
        <item x="92"/>
        <item x="89"/>
        <item x="27"/>
        <item x="61"/>
        <item x="76"/>
        <item x="96"/>
        <item x="54"/>
        <item x="98"/>
        <item x="82"/>
        <item x="42"/>
        <item x="94"/>
        <item x="0"/>
        <item x="40"/>
        <item x="72"/>
        <item t="default"/>
      </items>
    </pivotField>
    <pivotField compact="0" numFmtId="182" showAll="0">
      <items count="52">
        <item x="11"/>
        <item x="24"/>
        <item x="50"/>
        <item x="17"/>
        <item x="1"/>
        <item x="47"/>
        <item x="31"/>
        <item x="29"/>
        <item x="49"/>
        <item x="38"/>
        <item x="27"/>
        <item x="37"/>
        <item x="5"/>
        <item x="10"/>
        <item x="45"/>
        <item x="3"/>
        <item x="21"/>
        <item x="32"/>
        <item x="26"/>
        <item x="28"/>
        <item x="12"/>
        <item x="16"/>
        <item x="2"/>
        <item x="44"/>
        <item x="40"/>
        <item x="9"/>
        <item x="33"/>
        <item x="8"/>
        <item x="39"/>
        <item x="34"/>
        <item x="42"/>
        <item x="18"/>
        <item x="4"/>
        <item x="35"/>
        <item x="7"/>
        <item x="36"/>
        <item x="30"/>
        <item x="14"/>
        <item x="6"/>
        <item x="15"/>
        <item x="22"/>
        <item x="43"/>
        <item x="20"/>
        <item x="13"/>
        <item x="48"/>
        <item x="25"/>
        <item x="46"/>
        <item x="41"/>
        <item x="23"/>
        <item x="19"/>
        <item x="0"/>
        <item t="default"/>
      </items>
    </pivotField>
    <pivotField compact="0" showAll="0">
      <items count="3">
        <item x="0"/>
        <item x="1"/>
        <item t="default"/>
      </items>
    </pivotField>
  </pivotFields>
  <dataFields count="1">
    <dataField name="Avg  Salary" fld="8" subtotal="average" baseField="0" baseItem="0"/>
  </dataFields>
  <formats count="6">
    <format dxfId="13">
      <pivotArea collapsedLevelsAreSubtotals="1" fieldPosition="0"/>
    </format>
    <format dxfId="14">
      <pivotArea collapsedLevelsAreSubtotals="1" fieldPosition="0"/>
    </format>
    <format dxfId="15">
      <pivotArea collapsedLevelsAreSubtotals="1" fieldPosition="0"/>
    </format>
    <format dxfId="16">
      <pivotArea collapsedLevelsAreSubtotals="1" fieldPosition="0"/>
    </format>
    <format dxfId="17">
      <pivotArea collapsedLevelsAreSubtotals="1" fieldPosition="0"/>
    </format>
    <format dxfId="18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1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O3:Q14" firstHeaderRow="1" firstDataRow="1" firstDataCol="2"/>
  <pivotFields count="11">
    <pivotField compact="0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axis="axisRow" measureFilter="1" compact="0" sortType="descending" showAll="0">
      <items count="301">
        <item x="148"/>
        <item x="218"/>
        <item x="56"/>
        <item x="141"/>
        <item x="20"/>
        <item x="285"/>
        <item x="121"/>
        <item x="273"/>
        <item x="282"/>
        <item x="231"/>
        <item x="106"/>
        <item x="139"/>
        <item x="179"/>
        <item x="260"/>
        <item x="88"/>
        <item x="1"/>
        <item x="103"/>
        <item x="199"/>
        <item x="115"/>
        <item x="153"/>
        <item x="248"/>
        <item x="158"/>
        <item x="155"/>
        <item x="161"/>
        <item x="109"/>
        <item x="244"/>
        <item x="165"/>
        <item x="79"/>
        <item x="114"/>
        <item x="269"/>
        <item x="232"/>
        <item x="123"/>
        <item x="200"/>
        <item x="299"/>
        <item x="272"/>
        <item x="171"/>
        <item x="289"/>
        <item x="97"/>
        <item x="70"/>
        <item x="83"/>
        <item x="6"/>
        <item x="170"/>
        <item x="214"/>
        <item x="26"/>
        <item x="99"/>
        <item x="101"/>
        <item x="15"/>
        <item x="276"/>
        <item x="225"/>
        <item x="251"/>
        <item x="62"/>
        <item x="61"/>
        <item x="154"/>
        <item x="242"/>
        <item x="117"/>
        <item x="67"/>
        <item x="297"/>
        <item x="18"/>
        <item x="89"/>
        <item x="256"/>
        <item x="230"/>
        <item x="74"/>
        <item x="46"/>
        <item x="69"/>
        <item x="142"/>
        <item x="160"/>
        <item x="284"/>
        <item x="7"/>
        <item x="42"/>
        <item x="143"/>
        <item x="54"/>
        <item x="35"/>
        <item x="34"/>
        <item x="186"/>
        <item x="28"/>
        <item x="294"/>
        <item x="43"/>
        <item x="237"/>
        <item x="190"/>
        <item x="126"/>
        <item x="196"/>
        <item x="173"/>
        <item x="245"/>
        <item x="131"/>
        <item x="150"/>
        <item x="286"/>
        <item x="45"/>
        <item x="127"/>
        <item x="41"/>
        <item x="0"/>
        <item x="188"/>
        <item x="104"/>
        <item x="86"/>
        <item x="192"/>
        <item x="178"/>
        <item x="176"/>
        <item x="250"/>
        <item x="39"/>
        <item x="75"/>
        <item x="212"/>
        <item x="44"/>
        <item x="252"/>
        <item x="287"/>
        <item x="205"/>
        <item x="194"/>
        <item x="129"/>
        <item x="253"/>
        <item x="157"/>
        <item x="206"/>
        <item x="50"/>
        <item x="241"/>
        <item x="169"/>
        <item x="145"/>
        <item x="254"/>
        <item x="288"/>
        <item x="124"/>
        <item x="63"/>
        <item x="65"/>
        <item x="279"/>
        <item x="182"/>
        <item x="189"/>
        <item x="98"/>
        <item x="4"/>
        <item x="40"/>
        <item x="175"/>
        <item x="295"/>
        <item x="201"/>
        <item x="257"/>
        <item x="81"/>
        <item x="16"/>
        <item x="202"/>
        <item x="91"/>
        <item x="8"/>
        <item x="216"/>
        <item x="239"/>
        <item x="116"/>
        <item x="13"/>
        <item x="209"/>
        <item x="266"/>
        <item x="93"/>
        <item x="181"/>
        <item x="9"/>
        <item x="185"/>
        <item x="235"/>
        <item x="128"/>
        <item x="19"/>
        <item x="64"/>
        <item x="204"/>
        <item x="222"/>
        <item x="85"/>
        <item x="90"/>
        <item x="258"/>
        <item x="27"/>
        <item x="47"/>
        <item x="49"/>
        <item x="208"/>
        <item x="152"/>
        <item x="195"/>
        <item x="278"/>
        <item x="24"/>
        <item x="73"/>
        <item x="280"/>
        <item x="120"/>
        <item x="136"/>
        <item x="210"/>
        <item x="207"/>
        <item x="261"/>
        <item x="137"/>
        <item x="156"/>
        <item x="166"/>
        <item x="22"/>
        <item x="96"/>
        <item x="191"/>
        <item x="247"/>
        <item x="293"/>
        <item x="180"/>
        <item x="221"/>
        <item x="277"/>
        <item x="259"/>
        <item x="292"/>
        <item x="77"/>
        <item x="55"/>
        <item x="68"/>
        <item x="203"/>
        <item x="291"/>
        <item x="227"/>
        <item x="177"/>
        <item x="217"/>
        <item x="174"/>
        <item x="110"/>
        <item x="274"/>
        <item x="57"/>
        <item x="267"/>
        <item x="58"/>
        <item x="80"/>
        <item x="135"/>
        <item x="149"/>
        <item x="167"/>
        <item x="92"/>
        <item x="5"/>
        <item x="187"/>
        <item x="37"/>
        <item x="48"/>
        <item x="296"/>
        <item x="60"/>
        <item x="164"/>
        <item x="87"/>
        <item x="228"/>
        <item x="100"/>
        <item x="11"/>
        <item x="17"/>
        <item x="275"/>
        <item x="243"/>
        <item x="249"/>
        <item x="263"/>
        <item x="25"/>
        <item x="197"/>
        <item x="2"/>
        <item x="32"/>
        <item x="215"/>
        <item x="223"/>
        <item x="146"/>
        <item x="151"/>
        <item x="198"/>
        <item x="29"/>
        <item x="236"/>
        <item x="140"/>
        <item x="10"/>
        <item x="255"/>
        <item x="264"/>
        <item x="113"/>
        <item x="281"/>
        <item x="38"/>
        <item x="147"/>
        <item x="107"/>
        <item x="76"/>
        <item x="94"/>
        <item x="290"/>
        <item x="3"/>
        <item x="138"/>
        <item x="133"/>
        <item x="270"/>
        <item x="118"/>
        <item x="226"/>
        <item x="14"/>
        <item x="238"/>
        <item x="102"/>
        <item x="234"/>
        <item x="268"/>
        <item x="213"/>
        <item x="229"/>
        <item x="172"/>
        <item x="184"/>
        <item x="168"/>
        <item x="51"/>
        <item x="108"/>
        <item x="31"/>
        <item x="224"/>
        <item x="283"/>
        <item x="134"/>
        <item x="220"/>
        <item x="82"/>
        <item x="219"/>
        <item x="36"/>
        <item x="211"/>
        <item x="59"/>
        <item x="262"/>
        <item x="130"/>
        <item x="78"/>
        <item x="66"/>
        <item x="298"/>
        <item x="30"/>
        <item x="122"/>
        <item x="111"/>
        <item x="144"/>
        <item x="193"/>
        <item x="125"/>
        <item x="159"/>
        <item x="84"/>
        <item x="21"/>
        <item x="105"/>
        <item x="53"/>
        <item x="112"/>
        <item x="71"/>
        <item x="233"/>
        <item x="162"/>
        <item x="12"/>
        <item x="23"/>
        <item x="271"/>
        <item x="265"/>
        <item x="52"/>
        <item x="246"/>
        <item x="119"/>
        <item x="163"/>
        <item x="183"/>
        <item x="95"/>
        <item x="132"/>
        <item x="240"/>
        <item x="33"/>
        <item x="72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3">
        <item x="0"/>
        <item x="1"/>
        <item t="default"/>
      </items>
    </pivotField>
    <pivotField axis="axisRow" compact="0" showAll="0">
      <items count="9">
        <item x="3"/>
        <item x="6"/>
        <item x="1"/>
        <item x="2"/>
        <item x="5"/>
        <item x="7"/>
        <item x="4"/>
        <item x="0"/>
        <item t="default"/>
      </items>
    </pivotField>
    <pivotField compact="0" showAll="0">
      <items count="6">
        <item x="1"/>
        <item x="2"/>
        <item x="0"/>
        <item x="3"/>
        <item x="4"/>
        <item t="default"/>
      </items>
    </pivotField>
    <pivotField compact="0" numFmtId="185" showAll="0">
      <items count="47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t="default"/>
      </items>
    </pivotField>
    <pivotField compact="0" showAll="0">
      <items count="12">
        <item x="2"/>
        <item x="4"/>
        <item x="5"/>
        <item x="3"/>
        <item x="7"/>
        <item x="9"/>
        <item x="1"/>
        <item x="6"/>
        <item x="0"/>
        <item x="10"/>
        <item x="8"/>
        <item t="default"/>
      </items>
    </pivotField>
    <pivotField compact="0" showAll="0">
      <items count="111">
        <item x="74"/>
        <item x="1"/>
        <item x="2"/>
        <item x="3"/>
        <item x="4"/>
        <item x="5"/>
        <item x="6"/>
        <item x="7"/>
        <item x="8"/>
        <item x="9"/>
        <item x="10"/>
        <item x="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compact="0" numFmtId="184" showAll="0">
      <items count="100">
        <item x="34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5"/>
        <item x="36"/>
        <item x="37"/>
        <item x="38"/>
        <item x="39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53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0"/>
        <item x="40"/>
        <item x="72"/>
        <item t="default"/>
      </items>
    </pivotField>
    <pivotField dataField="1" compact="0" numFmtId="182" showAll="0">
      <items count="52">
        <item x="3"/>
        <item x="1"/>
        <item x="2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0"/>
        <item t="default"/>
      </items>
    </pivotField>
    <pivotField compact="0" showAll="0">
      <items count="3">
        <item x="0"/>
        <item x="1"/>
        <item t="default"/>
      </items>
    </pivotField>
  </pivotFields>
  <rowFields count="2">
    <field x="1"/>
    <field x="3"/>
  </rowFields>
  <rowItems count="11">
    <i>
      <x v="89"/>
    </i>
    <i r="1">
      <x v="7"/>
    </i>
    <i>
      <x v="45"/>
    </i>
    <i r="1">
      <x v="2"/>
    </i>
    <i>
      <x v="273"/>
    </i>
    <i r="1">
      <x v="5"/>
    </i>
    <i>
      <x v="237"/>
    </i>
    <i r="1">
      <x v="2"/>
    </i>
    <i>
      <x v="158"/>
    </i>
    <i r="1">
      <x v="4"/>
    </i>
    <i t="grand">
      <x/>
    </i>
  </rowItems>
  <colItems count="1">
    <i/>
  </colItems>
  <dataFields count="1">
    <dataField name="Avg Performance_Score" fld="9" subtotal="average" baseField="0" baseItem="0"/>
  </dataFields>
  <formats count="6">
    <format dxfId="19">
      <pivotArea type="all" dataOnly="0" outline="0" fieldPosition="0"/>
    </format>
    <format dxfId="20">
      <pivotArea type="all" dataOnly="0" outline="0" fieldPosition="0"/>
    </format>
    <format dxfId="21">
      <pivotArea type="all" dataOnly="0" outline="0" fieldPosition="0"/>
    </format>
    <format dxfId="22">
      <pivotArea type="all" dataOnly="0" outline="0" fieldPosition="0"/>
    </format>
    <format dxfId="23">
      <pivotArea type="all" dataOnly="0" outline="0" fieldPosition="0"/>
    </format>
    <format dxfId="24">
      <pivotArea type="all" dataOnly="0" outline="0" fieldPosition="0"/>
    </format>
  </formats>
  <pivotTableStyleInfo name="PivotStyleLight16" showRowHeaders="1" showColHeaders="1" showLastColumn="1"/>
  <filters count="1">
    <filter evalOrder="-1" fld="1" iMeasureFld="0" id="1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K3:K4" firstHeaderRow="1" firstDataRow="1" firstDataCol="0"/>
  <pivotFields count="11">
    <pivotField compact="0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compact="0" showAll="0">
      <items count="301">
        <item x="72"/>
        <item x="33"/>
        <item x="240"/>
        <item x="132"/>
        <item x="95"/>
        <item x="183"/>
        <item x="163"/>
        <item x="119"/>
        <item x="246"/>
        <item x="52"/>
        <item x="265"/>
        <item x="271"/>
        <item x="23"/>
        <item x="12"/>
        <item x="162"/>
        <item x="233"/>
        <item x="71"/>
        <item x="112"/>
        <item x="53"/>
        <item x="105"/>
        <item x="21"/>
        <item x="84"/>
        <item x="159"/>
        <item x="125"/>
        <item x="193"/>
        <item x="144"/>
        <item x="111"/>
        <item x="122"/>
        <item x="30"/>
        <item x="298"/>
        <item x="66"/>
        <item x="78"/>
        <item x="130"/>
        <item x="262"/>
        <item x="59"/>
        <item x="211"/>
        <item x="36"/>
        <item x="219"/>
        <item x="82"/>
        <item x="220"/>
        <item x="134"/>
        <item x="283"/>
        <item x="224"/>
        <item x="31"/>
        <item x="108"/>
        <item x="51"/>
        <item x="168"/>
        <item x="184"/>
        <item x="172"/>
        <item x="229"/>
        <item x="213"/>
        <item x="268"/>
        <item x="234"/>
        <item x="102"/>
        <item x="238"/>
        <item x="14"/>
        <item x="226"/>
        <item x="118"/>
        <item x="270"/>
        <item x="133"/>
        <item x="138"/>
        <item x="3"/>
        <item x="290"/>
        <item x="94"/>
        <item x="76"/>
        <item x="107"/>
        <item x="147"/>
        <item x="38"/>
        <item x="281"/>
        <item x="113"/>
        <item x="264"/>
        <item x="255"/>
        <item x="10"/>
        <item x="140"/>
        <item x="236"/>
        <item x="29"/>
        <item x="198"/>
        <item x="151"/>
        <item x="146"/>
        <item x="223"/>
        <item x="215"/>
        <item x="32"/>
        <item x="2"/>
        <item x="197"/>
        <item x="25"/>
        <item x="263"/>
        <item x="249"/>
        <item x="243"/>
        <item x="275"/>
        <item x="17"/>
        <item x="11"/>
        <item x="100"/>
        <item x="228"/>
        <item x="87"/>
        <item x="164"/>
        <item x="60"/>
        <item x="296"/>
        <item x="48"/>
        <item x="37"/>
        <item x="187"/>
        <item x="5"/>
        <item x="92"/>
        <item x="167"/>
        <item x="149"/>
        <item x="135"/>
        <item x="80"/>
        <item x="58"/>
        <item x="267"/>
        <item x="57"/>
        <item x="274"/>
        <item x="110"/>
        <item x="174"/>
        <item x="217"/>
        <item x="177"/>
        <item x="227"/>
        <item x="291"/>
        <item x="203"/>
        <item x="68"/>
        <item x="55"/>
        <item x="77"/>
        <item x="292"/>
        <item x="259"/>
        <item x="277"/>
        <item x="221"/>
        <item x="180"/>
        <item x="293"/>
        <item x="247"/>
        <item x="191"/>
        <item x="96"/>
        <item x="22"/>
        <item x="166"/>
        <item x="156"/>
        <item x="137"/>
        <item x="261"/>
        <item x="207"/>
        <item x="210"/>
        <item x="136"/>
        <item x="120"/>
        <item x="280"/>
        <item x="73"/>
        <item x="24"/>
        <item x="278"/>
        <item x="195"/>
        <item x="152"/>
        <item x="208"/>
        <item x="49"/>
        <item x="47"/>
        <item x="27"/>
        <item x="258"/>
        <item x="90"/>
        <item x="85"/>
        <item x="222"/>
        <item x="204"/>
        <item x="64"/>
        <item x="19"/>
        <item x="128"/>
        <item x="235"/>
        <item x="185"/>
        <item x="9"/>
        <item x="181"/>
        <item x="93"/>
        <item x="266"/>
        <item x="209"/>
        <item x="13"/>
        <item x="116"/>
        <item x="239"/>
        <item x="216"/>
        <item x="8"/>
        <item x="91"/>
        <item x="202"/>
        <item x="16"/>
        <item x="81"/>
        <item x="257"/>
        <item x="201"/>
        <item x="295"/>
        <item x="175"/>
        <item x="40"/>
        <item x="4"/>
        <item x="98"/>
        <item x="189"/>
        <item x="182"/>
        <item x="279"/>
        <item x="65"/>
        <item x="63"/>
        <item x="124"/>
        <item x="288"/>
        <item x="254"/>
        <item x="145"/>
        <item x="169"/>
        <item x="241"/>
        <item x="50"/>
        <item x="206"/>
        <item x="157"/>
        <item x="253"/>
        <item x="129"/>
        <item x="194"/>
        <item x="205"/>
        <item x="287"/>
        <item x="252"/>
        <item x="44"/>
        <item x="212"/>
        <item x="75"/>
        <item x="39"/>
        <item x="250"/>
        <item x="176"/>
        <item x="178"/>
        <item x="192"/>
        <item x="86"/>
        <item x="104"/>
        <item x="188"/>
        <item x="41"/>
        <item x="127"/>
        <item x="45"/>
        <item x="286"/>
        <item x="150"/>
        <item x="131"/>
        <item x="245"/>
        <item x="173"/>
        <item x="196"/>
        <item x="126"/>
        <item x="190"/>
        <item x="237"/>
        <item x="43"/>
        <item x="294"/>
        <item x="28"/>
        <item x="186"/>
        <item x="34"/>
        <item x="35"/>
        <item x="54"/>
        <item x="143"/>
        <item x="42"/>
        <item x="7"/>
        <item x="284"/>
        <item x="160"/>
        <item x="142"/>
        <item x="69"/>
        <item x="46"/>
        <item x="74"/>
        <item x="230"/>
        <item x="256"/>
        <item x="89"/>
        <item x="18"/>
        <item x="297"/>
        <item x="67"/>
        <item x="117"/>
        <item x="242"/>
        <item x="154"/>
        <item x="61"/>
        <item x="62"/>
        <item x="251"/>
        <item x="225"/>
        <item x="276"/>
        <item x="15"/>
        <item x="101"/>
        <item x="99"/>
        <item x="26"/>
        <item x="214"/>
        <item x="170"/>
        <item x="6"/>
        <item x="83"/>
        <item x="70"/>
        <item x="97"/>
        <item x="289"/>
        <item x="171"/>
        <item x="272"/>
        <item x="299"/>
        <item x="200"/>
        <item x="123"/>
        <item x="232"/>
        <item x="269"/>
        <item x="114"/>
        <item x="79"/>
        <item x="165"/>
        <item x="244"/>
        <item x="109"/>
        <item x="161"/>
        <item x="155"/>
        <item x="158"/>
        <item x="248"/>
        <item x="153"/>
        <item x="115"/>
        <item x="199"/>
        <item x="103"/>
        <item x="1"/>
        <item x="88"/>
        <item x="260"/>
        <item x="179"/>
        <item x="139"/>
        <item x="106"/>
        <item x="231"/>
        <item x="282"/>
        <item x="273"/>
        <item x="121"/>
        <item x="285"/>
        <item x="20"/>
        <item x="141"/>
        <item x="56"/>
        <item x="218"/>
        <item x="148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9">
        <item x="3"/>
        <item x="6"/>
        <item x="1"/>
        <item x="2"/>
        <item x="5"/>
        <item x="7"/>
        <item x="4"/>
        <item x="0"/>
        <item t="default"/>
      </items>
    </pivotField>
    <pivotField compact="0" showAll="0">
      <items count="6">
        <item x="4"/>
        <item x="0"/>
        <item x="2"/>
        <item x="1"/>
        <item x="3"/>
        <item t="default"/>
      </items>
    </pivotField>
    <pivotField compact="0" numFmtId="185" showAll="0">
      <items count="478">
        <item x="433"/>
        <item x="58"/>
        <item x="2"/>
        <item x="343"/>
        <item x="354"/>
        <item x="472"/>
        <item x="161"/>
        <item x="233"/>
        <item x="437"/>
        <item x="71"/>
        <item x="138"/>
        <item x="98"/>
        <item x="205"/>
        <item x="404"/>
        <item x="456"/>
        <item x="45"/>
        <item x="350"/>
        <item x="193"/>
        <item x="445"/>
        <item x="450"/>
        <item x="11"/>
        <item x="188"/>
        <item x="89"/>
        <item x="213"/>
        <item x="285"/>
        <item x="384"/>
        <item x="422"/>
        <item x="414"/>
        <item x="258"/>
        <item x="20"/>
        <item x="169"/>
        <item x="17"/>
        <item x="260"/>
        <item x="68"/>
        <item x="156"/>
        <item x="307"/>
        <item x="311"/>
        <item x="362"/>
        <item x="82"/>
        <item x="23"/>
        <item x="133"/>
        <item x="425"/>
        <item x="34"/>
        <item x="373"/>
        <item x="470"/>
        <item x="182"/>
        <item x="369"/>
        <item x="245"/>
        <item x="393"/>
        <item x="230"/>
        <item x="313"/>
        <item x="130"/>
        <item x="145"/>
        <item x="331"/>
        <item x="261"/>
        <item x="160"/>
        <item x="475"/>
        <item x="256"/>
        <item x="225"/>
        <item x="270"/>
        <item x="159"/>
        <item x="176"/>
        <item x="63"/>
        <item x="386"/>
        <item x="365"/>
        <item x="154"/>
        <item x="468"/>
        <item x="41"/>
        <item x="452"/>
        <item x="187"/>
        <item x="429"/>
        <item x="166"/>
        <item x="216"/>
        <item x="37"/>
        <item x="35"/>
        <item x="105"/>
        <item x="314"/>
        <item x="6"/>
        <item x="7"/>
        <item x="67"/>
        <item x="453"/>
        <item x="178"/>
        <item x="405"/>
        <item x="324"/>
        <item x="395"/>
        <item x="207"/>
        <item x="372"/>
        <item x="388"/>
        <item x="444"/>
        <item x="303"/>
        <item x="153"/>
        <item x="88"/>
        <item x="474"/>
        <item x="294"/>
        <item x="103"/>
        <item x="272"/>
        <item x="396"/>
        <item x="84"/>
        <item x="246"/>
        <item x="226"/>
        <item x="375"/>
        <item x="378"/>
        <item x="181"/>
        <item x="467"/>
        <item x="209"/>
        <item x="385"/>
        <item x="352"/>
        <item x="316"/>
        <item x="239"/>
        <item x="139"/>
        <item x="344"/>
        <item x="419"/>
        <item x="380"/>
        <item x="454"/>
        <item x="46"/>
        <item x="394"/>
        <item x="340"/>
        <item x="8"/>
        <item x="131"/>
        <item x="382"/>
        <item x="264"/>
        <item x="284"/>
        <item x="298"/>
        <item x="172"/>
        <item x="221"/>
        <item x="283"/>
        <item x="305"/>
        <item x="196"/>
        <item x="357"/>
        <item x="406"/>
        <item x="249"/>
        <item x="250"/>
        <item x="356"/>
        <item x="38"/>
        <item x="48"/>
        <item x="446"/>
        <item x="297"/>
        <item x="355"/>
        <item x="418"/>
        <item x="368"/>
        <item x="140"/>
        <item x="152"/>
        <item x="287"/>
        <item x="109"/>
        <item x="336"/>
        <item x="55"/>
        <item x="174"/>
        <item x="346"/>
        <item x="5"/>
        <item x="208"/>
        <item x="247"/>
        <item x="121"/>
        <item x="33"/>
        <item x="53"/>
        <item x="86"/>
        <item x="168"/>
        <item x="339"/>
        <item x="389"/>
        <item x="56"/>
        <item x="413"/>
        <item x="275"/>
        <item x="102"/>
        <item x="115"/>
        <item x="220"/>
        <item x="464"/>
        <item x="421"/>
        <item x="52"/>
        <item x="391"/>
        <item x="44"/>
        <item x="110"/>
        <item x="39"/>
        <item x="392"/>
        <item x="79"/>
        <item x="164"/>
        <item x="80"/>
        <item x="459"/>
        <item x="3"/>
        <item x="212"/>
        <item x="214"/>
        <item x="175"/>
        <item x="165"/>
        <item x="377"/>
        <item x="42"/>
        <item x="141"/>
        <item x="136"/>
        <item x="127"/>
        <item x="203"/>
        <item x="325"/>
        <item x="180"/>
        <item x="197"/>
        <item x="271"/>
        <item x="204"/>
        <item x="118"/>
        <item x="235"/>
        <item x="449"/>
        <item x="12"/>
        <item x="447"/>
        <item x="293"/>
        <item x="28"/>
        <item x="347"/>
        <item x="317"/>
        <item x="397"/>
        <item x="299"/>
        <item x="123"/>
        <item x="274"/>
        <item x="31"/>
        <item x="211"/>
        <item x="281"/>
        <item x="184"/>
        <item x="351"/>
        <item x="190"/>
        <item x="162"/>
        <item x="142"/>
        <item x="25"/>
        <item x="326"/>
        <item x="75"/>
        <item x="91"/>
        <item x="76"/>
        <item x="434"/>
        <item x="201"/>
        <item x="183"/>
        <item x="327"/>
        <item x="219"/>
        <item x="157"/>
        <item x="117"/>
        <item x="200"/>
        <item x="179"/>
        <item x="171"/>
        <item x="321"/>
        <item x="430"/>
        <item x="353"/>
        <item x="155"/>
        <item x="457"/>
        <item x="106"/>
        <item x="59"/>
        <item x="72"/>
        <item x="114"/>
        <item x="93"/>
        <item x="399"/>
        <item x="18"/>
        <item x="312"/>
        <item x="252"/>
        <item x="194"/>
        <item x="144"/>
        <item x="128"/>
        <item x="62"/>
        <item x="27"/>
        <item x="320"/>
        <item x="81"/>
        <item x="292"/>
        <item x="97"/>
        <item x="218"/>
        <item x="455"/>
        <item x="223"/>
        <item x="310"/>
        <item x="463"/>
        <item x="228"/>
        <item x="189"/>
        <item x="267"/>
        <item x="113"/>
        <item x="403"/>
        <item x="50"/>
        <item x="10"/>
        <item x="22"/>
        <item x="70"/>
        <item x="265"/>
        <item x="64"/>
        <item x="66"/>
        <item x="441"/>
        <item x="104"/>
        <item x="26"/>
        <item x="4"/>
        <item x="191"/>
        <item x="170"/>
        <item x="60"/>
        <item x="40"/>
        <item x="323"/>
        <item x="286"/>
        <item x="349"/>
        <item x="73"/>
        <item x="29"/>
        <item x="366"/>
        <item x="334"/>
        <item x="408"/>
        <item x="224"/>
        <item x="276"/>
        <item x="427"/>
        <item x="387"/>
        <item x="288"/>
        <item x="85"/>
        <item x="158"/>
        <item x="348"/>
        <item x="329"/>
        <item x="295"/>
        <item x="177"/>
        <item x="16"/>
        <item x="398"/>
        <item x="1"/>
        <item x="390"/>
        <item x="146"/>
        <item x="439"/>
        <item x="90"/>
        <item x="54"/>
        <item x="410"/>
        <item x="15"/>
        <item x="291"/>
        <item x="240"/>
        <item x="77"/>
        <item x="119"/>
        <item x="51"/>
        <item x="215"/>
        <item x="92"/>
        <item x="337"/>
        <item x="374"/>
        <item x="116"/>
        <item x="100"/>
        <item x="424"/>
        <item x="315"/>
        <item x="217"/>
        <item x="259"/>
        <item x="473"/>
        <item x="436"/>
        <item x="243"/>
        <item x="242"/>
        <item x="24"/>
        <item x="277"/>
        <item x="9"/>
        <item x="151"/>
        <item x="32"/>
        <item x="120"/>
        <item x="282"/>
        <item x="129"/>
        <item x="173"/>
        <item x="47"/>
        <item x="255"/>
        <item x="167"/>
        <item x="469"/>
        <item x="411"/>
        <item x="94"/>
        <item x="290"/>
        <item x="198"/>
        <item x="319"/>
        <item x="101"/>
        <item x="186"/>
        <item x="134"/>
        <item x="451"/>
        <item x="438"/>
        <item x="206"/>
        <item x="318"/>
        <item x="280"/>
        <item x="19"/>
        <item x="359"/>
        <item x="241"/>
        <item x="262"/>
        <item x="125"/>
        <item x="263"/>
        <item x="448"/>
        <item x="435"/>
        <item x="432"/>
        <item x="126"/>
        <item x="278"/>
        <item x="0"/>
        <item x="423"/>
        <item x="364"/>
        <item x="257"/>
        <item x="83"/>
        <item x="309"/>
        <item x="192"/>
        <item x="13"/>
        <item x="308"/>
        <item x="253"/>
        <item x="99"/>
        <item x="458"/>
        <item x="333"/>
        <item x="476"/>
        <item x="111"/>
        <item x="431"/>
        <item x="379"/>
        <item x="471"/>
        <item x="440"/>
        <item x="112"/>
        <item x="237"/>
        <item x="335"/>
        <item x="202"/>
        <item x="210"/>
        <item x="238"/>
        <item x="149"/>
        <item x="302"/>
        <item x="36"/>
        <item x="279"/>
        <item x="304"/>
        <item x="199"/>
        <item x="415"/>
        <item x="132"/>
        <item x="96"/>
        <item x="412"/>
        <item x="360"/>
        <item x="248"/>
        <item x="147"/>
        <item x="74"/>
        <item x="417"/>
        <item x="371"/>
        <item x="401"/>
        <item x="185"/>
        <item x="232"/>
        <item x="466"/>
        <item x="332"/>
        <item x="163"/>
        <item x="234"/>
        <item x="269"/>
        <item x="289"/>
        <item x="78"/>
        <item x="370"/>
        <item x="30"/>
        <item x="122"/>
        <item x="407"/>
        <item x="341"/>
        <item x="328"/>
        <item x="61"/>
        <item x="358"/>
        <item x="43"/>
        <item x="222"/>
        <item x="87"/>
        <item x="409"/>
        <item x="108"/>
        <item x="69"/>
        <item x="342"/>
        <item x="400"/>
        <item x="195"/>
        <item x="57"/>
        <item x="251"/>
        <item x="229"/>
        <item x="460"/>
        <item x="49"/>
        <item x="330"/>
        <item x="124"/>
        <item x="443"/>
        <item x="296"/>
        <item x="21"/>
        <item x="442"/>
        <item x="95"/>
        <item x="268"/>
        <item x="266"/>
        <item x="254"/>
        <item x="306"/>
        <item x="376"/>
        <item x="462"/>
        <item x="461"/>
        <item x="244"/>
        <item x="135"/>
        <item x="150"/>
        <item x="236"/>
        <item x="65"/>
        <item x="428"/>
        <item x="143"/>
        <item x="426"/>
        <item x="383"/>
        <item x="137"/>
        <item x="148"/>
        <item x="14"/>
        <item x="361"/>
        <item x="273"/>
        <item x="338"/>
        <item x="416"/>
        <item x="345"/>
        <item x="465"/>
        <item x="322"/>
        <item x="367"/>
        <item x="301"/>
        <item x="420"/>
        <item x="402"/>
        <item x="363"/>
        <item x="231"/>
        <item x="381"/>
        <item x="300"/>
        <item x="227"/>
        <item x="107"/>
        <item t="default"/>
      </items>
    </pivotField>
    <pivotField compact="0" showAll="0">
      <items count="12">
        <item x="2"/>
        <item x="4"/>
        <item x="5"/>
        <item x="3"/>
        <item x="7"/>
        <item x="9"/>
        <item x="1"/>
        <item x="6"/>
        <item x="0"/>
        <item x="10"/>
        <item x="8"/>
        <item t="default"/>
      </items>
    </pivotField>
    <pivotField dataField="1" compact="0" showAll="0">
      <items count="111">
        <item x="66"/>
        <item x="103"/>
        <item x="100"/>
        <item x="12"/>
        <item x="46"/>
        <item x="95"/>
        <item x="104"/>
        <item x="96"/>
        <item x="18"/>
        <item x="38"/>
        <item x="43"/>
        <item x="48"/>
        <item x="55"/>
        <item x="35"/>
        <item x="24"/>
        <item x="84"/>
        <item x="50"/>
        <item x="60"/>
        <item x="29"/>
        <item x="92"/>
        <item x="90"/>
        <item x="68"/>
        <item x="108"/>
        <item x="67"/>
        <item x="62"/>
        <item x="11"/>
        <item x="52"/>
        <item x="74"/>
        <item x="98"/>
        <item x="73"/>
        <item x="16"/>
        <item x="79"/>
        <item x="59"/>
        <item x="37"/>
        <item x="76"/>
        <item x="71"/>
        <item x="8"/>
        <item x="97"/>
        <item x="63"/>
        <item x="58"/>
        <item x="39"/>
        <item x="13"/>
        <item x="1"/>
        <item x="54"/>
        <item x="93"/>
        <item x="23"/>
        <item x="101"/>
        <item x="32"/>
        <item x="4"/>
        <item x="9"/>
        <item x="69"/>
        <item x="99"/>
        <item x="88"/>
        <item x="105"/>
        <item x="61"/>
        <item x="21"/>
        <item x="15"/>
        <item x="44"/>
        <item x="65"/>
        <item x="82"/>
        <item x="70"/>
        <item x="51"/>
        <item x="20"/>
        <item x="83"/>
        <item x="25"/>
        <item x="72"/>
        <item x="22"/>
        <item x="0"/>
        <item x="75"/>
        <item x="34"/>
        <item x="85"/>
        <item x="3"/>
        <item x="31"/>
        <item x="40"/>
        <item x="64"/>
        <item x="42"/>
        <item x="26"/>
        <item x="5"/>
        <item x="41"/>
        <item x="102"/>
        <item x="30"/>
        <item x="89"/>
        <item x="86"/>
        <item x="78"/>
        <item x="7"/>
        <item x="80"/>
        <item x="106"/>
        <item x="87"/>
        <item x="53"/>
        <item x="56"/>
        <item x="91"/>
        <item x="6"/>
        <item x="28"/>
        <item x="33"/>
        <item x="45"/>
        <item x="81"/>
        <item x="77"/>
        <item x="94"/>
        <item x="27"/>
        <item x="19"/>
        <item x="47"/>
        <item x="14"/>
        <item x="17"/>
        <item x="57"/>
        <item x="10"/>
        <item x="36"/>
        <item x="109"/>
        <item x="49"/>
        <item x="107"/>
        <item x="2"/>
        <item t="default"/>
      </items>
    </pivotField>
    <pivotField compact="0" numFmtId="184" showAll="0">
      <items count="100">
        <item x="87"/>
        <item x="97"/>
        <item x="86"/>
        <item x="81"/>
        <item x="38"/>
        <item x="58"/>
        <item x="44"/>
        <item x="18"/>
        <item x="55"/>
        <item x="75"/>
        <item x="14"/>
        <item x="34"/>
        <item x="29"/>
        <item x="19"/>
        <item x="47"/>
        <item x="4"/>
        <item x="60"/>
        <item x="13"/>
        <item x="1"/>
        <item x="10"/>
        <item x="32"/>
        <item x="51"/>
        <item x="22"/>
        <item x="88"/>
        <item x="62"/>
        <item x="2"/>
        <item x="73"/>
        <item x="74"/>
        <item x="90"/>
        <item x="71"/>
        <item x="26"/>
        <item x="30"/>
        <item x="64"/>
        <item x="23"/>
        <item x="8"/>
        <item x="35"/>
        <item x="52"/>
        <item x="68"/>
        <item x="15"/>
        <item x="65"/>
        <item x="93"/>
        <item x="45"/>
        <item x="16"/>
        <item x="3"/>
        <item x="21"/>
        <item x="20"/>
        <item x="83"/>
        <item x="63"/>
        <item x="9"/>
        <item x="12"/>
        <item x="48"/>
        <item x="66"/>
        <item x="24"/>
        <item x="17"/>
        <item x="91"/>
        <item x="7"/>
        <item x="41"/>
        <item x="5"/>
        <item x="50"/>
        <item x="49"/>
        <item x="77"/>
        <item x="84"/>
        <item x="43"/>
        <item x="37"/>
        <item x="78"/>
        <item x="59"/>
        <item x="79"/>
        <item x="36"/>
        <item x="28"/>
        <item x="11"/>
        <item x="46"/>
        <item x="69"/>
        <item x="25"/>
        <item x="31"/>
        <item x="6"/>
        <item x="57"/>
        <item x="67"/>
        <item x="39"/>
        <item x="33"/>
        <item x="70"/>
        <item x="95"/>
        <item x="80"/>
        <item x="85"/>
        <item x="53"/>
        <item x="56"/>
        <item x="92"/>
        <item x="89"/>
        <item x="27"/>
        <item x="61"/>
        <item x="76"/>
        <item x="96"/>
        <item x="54"/>
        <item x="98"/>
        <item x="82"/>
        <item x="42"/>
        <item x="94"/>
        <item x="0"/>
        <item x="40"/>
        <item x="72"/>
        <item t="default"/>
      </items>
    </pivotField>
    <pivotField compact="0" numFmtId="182" showAll="0">
      <items count="52">
        <item x="11"/>
        <item x="24"/>
        <item x="50"/>
        <item x="17"/>
        <item x="1"/>
        <item x="47"/>
        <item x="31"/>
        <item x="29"/>
        <item x="49"/>
        <item x="38"/>
        <item x="27"/>
        <item x="37"/>
        <item x="5"/>
        <item x="10"/>
        <item x="45"/>
        <item x="3"/>
        <item x="21"/>
        <item x="32"/>
        <item x="26"/>
        <item x="28"/>
        <item x="12"/>
        <item x="16"/>
        <item x="2"/>
        <item x="44"/>
        <item x="40"/>
        <item x="9"/>
        <item x="33"/>
        <item x="8"/>
        <item x="39"/>
        <item x="34"/>
        <item x="42"/>
        <item x="18"/>
        <item x="4"/>
        <item x="35"/>
        <item x="7"/>
        <item x="36"/>
        <item x="30"/>
        <item x="14"/>
        <item x="6"/>
        <item x="15"/>
        <item x="22"/>
        <item x="43"/>
        <item x="20"/>
        <item x="13"/>
        <item x="48"/>
        <item x="25"/>
        <item x="46"/>
        <item x="41"/>
        <item x="23"/>
        <item x="19"/>
        <item x="0"/>
        <item t="default"/>
      </items>
    </pivotField>
    <pivotField compact="0" showAll="0">
      <items count="3">
        <item x="0"/>
        <item x="1"/>
        <item t="default"/>
      </items>
    </pivotField>
  </pivotFields>
  <dataFields count="1">
    <dataField name="Avg  Experience" fld="7" subtotal="average" baseField="0" baseItem="0"/>
  </dataFields>
  <formats count="3">
    <format dxfId="25">
      <pivotArea collapsedLevelsAreSubtotals="1" fieldPosition="0"/>
    </format>
    <format dxfId="26">
      <pivotArea collapsedLevelsAreSubtotals="1" fieldPosition="0"/>
    </format>
    <format dxfId="27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M3:M4" firstHeaderRow="1" firstDataRow="1" firstDataCol="0"/>
  <pivotFields count="11">
    <pivotField compact="0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compact="0" showAll="0">
      <items count="301">
        <item x="72"/>
        <item x="33"/>
        <item x="240"/>
        <item x="132"/>
        <item x="95"/>
        <item x="183"/>
        <item x="163"/>
        <item x="119"/>
        <item x="246"/>
        <item x="52"/>
        <item x="265"/>
        <item x="271"/>
        <item x="23"/>
        <item x="12"/>
        <item x="162"/>
        <item x="233"/>
        <item x="71"/>
        <item x="112"/>
        <item x="53"/>
        <item x="105"/>
        <item x="21"/>
        <item x="84"/>
        <item x="159"/>
        <item x="125"/>
        <item x="193"/>
        <item x="144"/>
        <item x="111"/>
        <item x="122"/>
        <item x="30"/>
        <item x="298"/>
        <item x="66"/>
        <item x="78"/>
        <item x="130"/>
        <item x="262"/>
        <item x="59"/>
        <item x="211"/>
        <item x="36"/>
        <item x="219"/>
        <item x="82"/>
        <item x="220"/>
        <item x="134"/>
        <item x="283"/>
        <item x="224"/>
        <item x="31"/>
        <item x="108"/>
        <item x="51"/>
        <item x="168"/>
        <item x="184"/>
        <item x="172"/>
        <item x="229"/>
        <item x="213"/>
        <item x="268"/>
        <item x="234"/>
        <item x="102"/>
        <item x="238"/>
        <item x="14"/>
        <item x="226"/>
        <item x="118"/>
        <item x="270"/>
        <item x="133"/>
        <item x="138"/>
        <item x="3"/>
        <item x="290"/>
        <item x="94"/>
        <item x="76"/>
        <item x="107"/>
        <item x="147"/>
        <item x="38"/>
        <item x="281"/>
        <item x="113"/>
        <item x="264"/>
        <item x="255"/>
        <item x="10"/>
        <item x="140"/>
        <item x="236"/>
        <item x="29"/>
        <item x="198"/>
        <item x="151"/>
        <item x="146"/>
        <item x="223"/>
        <item x="215"/>
        <item x="32"/>
        <item x="2"/>
        <item x="197"/>
        <item x="25"/>
        <item x="263"/>
        <item x="249"/>
        <item x="243"/>
        <item x="275"/>
        <item x="17"/>
        <item x="11"/>
        <item x="100"/>
        <item x="228"/>
        <item x="87"/>
        <item x="164"/>
        <item x="60"/>
        <item x="296"/>
        <item x="48"/>
        <item x="37"/>
        <item x="187"/>
        <item x="5"/>
        <item x="92"/>
        <item x="167"/>
        <item x="149"/>
        <item x="135"/>
        <item x="80"/>
        <item x="58"/>
        <item x="267"/>
        <item x="57"/>
        <item x="274"/>
        <item x="110"/>
        <item x="174"/>
        <item x="217"/>
        <item x="177"/>
        <item x="227"/>
        <item x="291"/>
        <item x="203"/>
        <item x="68"/>
        <item x="55"/>
        <item x="77"/>
        <item x="292"/>
        <item x="259"/>
        <item x="277"/>
        <item x="221"/>
        <item x="180"/>
        <item x="293"/>
        <item x="247"/>
        <item x="191"/>
        <item x="96"/>
        <item x="22"/>
        <item x="166"/>
        <item x="156"/>
        <item x="137"/>
        <item x="261"/>
        <item x="207"/>
        <item x="210"/>
        <item x="136"/>
        <item x="120"/>
        <item x="280"/>
        <item x="73"/>
        <item x="24"/>
        <item x="278"/>
        <item x="195"/>
        <item x="152"/>
        <item x="208"/>
        <item x="49"/>
        <item x="47"/>
        <item x="27"/>
        <item x="258"/>
        <item x="90"/>
        <item x="85"/>
        <item x="222"/>
        <item x="204"/>
        <item x="64"/>
        <item x="19"/>
        <item x="128"/>
        <item x="235"/>
        <item x="185"/>
        <item x="9"/>
        <item x="181"/>
        <item x="93"/>
        <item x="266"/>
        <item x="209"/>
        <item x="13"/>
        <item x="116"/>
        <item x="239"/>
        <item x="216"/>
        <item x="8"/>
        <item x="91"/>
        <item x="202"/>
        <item x="16"/>
        <item x="81"/>
        <item x="257"/>
        <item x="201"/>
        <item x="295"/>
        <item x="175"/>
        <item x="40"/>
        <item x="4"/>
        <item x="98"/>
        <item x="189"/>
        <item x="182"/>
        <item x="279"/>
        <item x="65"/>
        <item x="63"/>
        <item x="124"/>
        <item x="288"/>
        <item x="254"/>
        <item x="145"/>
        <item x="169"/>
        <item x="241"/>
        <item x="50"/>
        <item x="206"/>
        <item x="157"/>
        <item x="253"/>
        <item x="129"/>
        <item x="194"/>
        <item x="205"/>
        <item x="287"/>
        <item x="252"/>
        <item x="44"/>
        <item x="212"/>
        <item x="75"/>
        <item x="39"/>
        <item x="250"/>
        <item x="176"/>
        <item x="178"/>
        <item x="192"/>
        <item x="86"/>
        <item x="104"/>
        <item x="188"/>
        <item x="41"/>
        <item x="127"/>
        <item x="45"/>
        <item x="286"/>
        <item x="150"/>
        <item x="131"/>
        <item x="245"/>
        <item x="173"/>
        <item x="196"/>
        <item x="126"/>
        <item x="190"/>
        <item x="237"/>
        <item x="43"/>
        <item x="294"/>
        <item x="28"/>
        <item x="186"/>
        <item x="34"/>
        <item x="35"/>
        <item x="54"/>
        <item x="143"/>
        <item x="42"/>
        <item x="7"/>
        <item x="284"/>
        <item x="160"/>
        <item x="142"/>
        <item x="69"/>
        <item x="46"/>
        <item x="74"/>
        <item x="230"/>
        <item x="256"/>
        <item x="89"/>
        <item x="18"/>
        <item x="297"/>
        <item x="67"/>
        <item x="117"/>
        <item x="242"/>
        <item x="154"/>
        <item x="61"/>
        <item x="62"/>
        <item x="251"/>
        <item x="225"/>
        <item x="276"/>
        <item x="15"/>
        <item x="101"/>
        <item x="99"/>
        <item x="26"/>
        <item x="214"/>
        <item x="170"/>
        <item x="6"/>
        <item x="83"/>
        <item x="70"/>
        <item x="97"/>
        <item x="289"/>
        <item x="171"/>
        <item x="272"/>
        <item x="299"/>
        <item x="200"/>
        <item x="123"/>
        <item x="232"/>
        <item x="269"/>
        <item x="114"/>
        <item x="79"/>
        <item x="165"/>
        <item x="244"/>
        <item x="109"/>
        <item x="161"/>
        <item x="155"/>
        <item x="158"/>
        <item x="248"/>
        <item x="153"/>
        <item x="115"/>
        <item x="199"/>
        <item x="103"/>
        <item x="1"/>
        <item x="88"/>
        <item x="260"/>
        <item x="179"/>
        <item x="139"/>
        <item x="106"/>
        <item x="231"/>
        <item x="282"/>
        <item x="273"/>
        <item x="121"/>
        <item x="285"/>
        <item x="20"/>
        <item x="141"/>
        <item x="56"/>
        <item x="218"/>
        <item x="148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9">
        <item x="3"/>
        <item x="6"/>
        <item x="1"/>
        <item x="2"/>
        <item x="5"/>
        <item x="7"/>
        <item x="4"/>
        <item x="0"/>
        <item t="default"/>
      </items>
    </pivotField>
    <pivotField compact="0" showAll="0">
      <items count="6">
        <item x="4"/>
        <item x="0"/>
        <item x="2"/>
        <item x="1"/>
        <item x="3"/>
        <item t="default"/>
      </items>
    </pivotField>
    <pivotField compact="0" numFmtId="185" showAll="0">
      <items count="478">
        <item x="433"/>
        <item x="58"/>
        <item x="2"/>
        <item x="343"/>
        <item x="354"/>
        <item x="472"/>
        <item x="161"/>
        <item x="233"/>
        <item x="437"/>
        <item x="71"/>
        <item x="138"/>
        <item x="98"/>
        <item x="205"/>
        <item x="404"/>
        <item x="456"/>
        <item x="45"/>
        <item x="350"/>
        <item x="193"/>
        <item x="445"/>
        <item x="450"/>
        <item x="11"/>
        <item x="188"/>
        <item x="89"/>
        <item x="213"/>
        <item x="285"/>
        <item x="384"/>
        <item x="422"/>
        <item x="414"/>
        <item x="258"/>
        <item x="20"/>
        <item x="169"/>
        <item x="17"/>
        <item x="260"/>
        <item x="68"/>
        <item x="156"/>
        <item x="307"/>
        <item x="311"/>
        <item x="362"/>
        <item x="82"/>
        <item x="23"/>
        <item x="133"/>
        <item x="425"/>
        <item x="34"/>
        <item x="373"/>
        <item x="470"/>
        <item x="182"/>
        <item x="369"/>
        <item x="245"/>
        <item x="393"/>
        <item x="230"/>
        <item x="313"/>
        <item x="130"/>
        <item x="145"/>
        <item x="331"/>
        <item x="261"/>
        <item x="160"/>
        <item x="475"/>
        <item x="256"/>
        <item x="225"/>
        <item x="270"/>
        <item x="159"/>
        <item x="176"/>
        <item x="63"/>
        <item x="386"/>
        <item x="365"/>
        <item x="154"/>
        <item x="468"/>
        <item x="41"/>
        <item x="452"/>
        <item x="187"/>
        <item x="429"/>
        <item x="166"/>
        <item x="216"/>
        <item x="37"/>
        <item x="35"/>
        <item x="105"/>
        <item x="314"/>
        <item x="6"/>
        <item x="7"/>
        <item x="67"/>
        <item x="453"/>
        <item x="178"/>
        <item x="405"/>
        <item x="324"/>
        <item x="395"/>
        <item x="207"/>
        <item x="372"/>
        <item x="388"/>
        <item x="444"/>
        <item x="303"/>
        <item x="153"/>
        <item x="88"/>
        <item x="474"/>
        <item x="294"/>
        <item x="103"/>
        <item x="272"/>
        <item x="396"/>
        <item x="84"/>
        <item x="246"/>
        <item x="226"/>
        <item x="375"/>
        <item x="378"/>
        <item x="181"/>
        <item x="467"/>
        <item x="209"/>
        <item x="385"/>
        <item x="352"/>
        <item x="316"/>
        <item x="239"/>
        <item x="139"/>
        <item x="344"/>
        <item x="419"/>
        <item x="380"/>
        <item x="454"/>
        <item x="46"/>
        <item x="394"/>
        <item x="340"/>
        <item x="8"/>
        <item x="131"/>
        <item x="382"/>
        <item x="264"/>
        <item x="284"/>
        <item x="298"/>
        <item x="172"/>
        <item x="221"/>
        <item x="283"/>
        <item x="305"/>
        <item x="196"/>
        <item x="357"/>
        <item x="406"/>
        <item x="249"/>
        <item x="250"/>
        <item x="356"/>
        <item x="38"/>
        <item x="48"/>
        <item x="446"/>
        <item x="297"/>
        <item x="355"/>
        <item x="418"/>
        <item x="368"/>
        <item x="140"/>
        <item x="152"/>
        <item x="287"/>
        <item x="109"/>
        <item x="336"/>
        <item x="55"/>
        <item x="174"/>
        <item x="346"/>
        <item x="5"/>
        <item x="208"/>
        <item x="247"/>
        <item x="121"/>
        <item x="33"/>
        <item x="53"/>
        <item x="86"/>
        <item x="168"/>
        <item x="339"/>
        <item x="389"/>
        <item x="56"/>
        <item x="413"/>
        <item x="275"/>
        <item x="102"/>
        <item x="115"/>
        <item x="220"/>
        <item x="464"/>
        <item x="421"/>
        <item x="52"/>
        <item x="391"/>
        <item x="44"/>
        <item x="110"/>
        <item x="39"/>
        <item x="392"/>
        <item x="79"/>
        <item x="164"/>
        <item x="80"/>
        <item x="459"/>
        <item x="3"/>
        <item x="212"/>
        <item x="214"/>
        <item x="175"/>
        <item x="165"/>
        <item x="377"/>
        <item x="42"/>
        <item x="141"/>
        <item x="136"/>
        <item x="127"/>
        <item x="203"/>
        <item x="325"/>
        <item x="180"/>
        <item x="197"/>
        <item x="271"/>
        <item x="204"/>
        <item x="118"/>
        <item x="235"/>
        <item x="449"/>
        <item x="12"/>
        <item x="447"/>
        <item x="293"/>
        <item x="28"/>
        <item x="347"/>
        <item x="317"/>
        <item x="397"/>
        <item x="299"/>
        <item x="123"/>
        <item x="274"/>
        <item x="31"/>
        <item x="211"/>
        <item x="281"/>
        <item x="184"/>
        <item x="351"/>
        <item x="190"/>
        <item x="162"/>
        <item x="142"/>
        <item x="25"/>
        <item x="326"/>
        <item x="75"/>
        <item x="91"/>
        <item x="76"/>
        <item x="434"/>
        <item x="201"/>
        <item x="183"/>
        <item x="327"/>
        <item x="219"/>
        <item x="157"/>
        <item x="117"/>
        <item x="200"/>
        <item x="179"/>
        <item x="171"/>
        <item x="321"/>
        <item x="430"/>
        <item x="353"/>
        <item x="155"/>
        <item x="457"/>
        <item x="106"/>
        <item x="59"/>
        <item x="72"/>
        <item x="114"/>
        <item x="93"/>
        <item x="399"/>
        <item x="18"/>
        <item x="312"/>
        <item x="252"/>
        <item x="194"/>
        <item x="144"/>
        <item x="128"/>
        <item x="62"/>
        <item x="27"/>
        <item x="320"/>
        <item x="81"/>
        <item x="292"/>
        <item x="97"/>
        <item x="218"/>
        <item x="455"/>
        <item x="223"/>
        <item x="310"/>
        <item x="463"/>
        <item x="228"/>
        <item x="189"/>
        <item x="267"/>
        <item x="113"/>
        <item x="403"/>
        <item x="50"/>
        <item x="10"/>
        <item x="22"/>
        <item x="70"/>
        <item x="265"/>
        <item x="64"/>
        <item x="66"/>
        <item x="441"/>
        <item x="104"/>
        <item x="26"/>
        <item x="4"/>
        <item x="191"/>
        <item x="170"/>
        <item x="60"/>
        <item x="40"/>
        <item x="323"/>
        <item x="286"/>
        <item x="349"/>
        <item x="73"/>
        <item x="29"/>
        <item x="366"/>
        <item x="334"/>
        <item x="408"/>
        <item x="224"/>
        <item x="276"/>
        <item x="427"/>
        <item x="387"/>
        <item x="288"/>
        <item x="85"/>
        <item x="158"/>
        <item x="348"/>
        <item x="329"/>
        <item x="295"/>
        <item x="177"/>
        <item x="16"/>
        <item x="398"/>
        <item x="1"/>
        <item x="390"/>
        <item x="146"/>
        <item x="439"/>
        <item x="90"/>
        <item x="54"/>
        <item x="410"/>
        <item x="15"/>
        <item x="291"/>
        <item x="240"/>
        <item x="77"/>
        <item x="119"/>
        <item x="51"/>
        <item x="215"/>
        <item x="92"/>
        <item x="337"/>
        <item x="374"/>
        <item x="116"/>
        <item x="100"/>
        <item x="424"/>
        <item x="315"/>
        <item x="217"/>
        <item x="259"/>
        <item x="473"/>
        <item x="436"/>
        <item x="243"/>
        <item x="242"/>
        <item x="24"/>
        <item x="277"/>
        <item x="9"/>
        <item x="151"/>
        <item x="32"/>
        <item x="120"/>
        <item x="282"/>
        <item x="129"/>
        <item x="173"/>
        <item x="47"/>
        <item x="255"/>
        <item x="167"/>
        <item x="469"/>
        <item x="411"/>
        <item x="94"/>
        <item x="290"/>
        <item x="198"/>
        <item x="319"/>
        <item x="101"/>
        <item x="186"/>
        <item x="134"/>
        <item x="451"/>
        <item x="438"/>
        <item x="206"/>
        <item x="318"/>
        <item x="280"/>
        <item x="19"/>
        <item x="359"/>
        <item x="241"/>
        <item x="262"/>
        <item x="125"/>
        <item x="263"/>
        <item x="448"/>
        <item x="435"/>
        <item x="432"/>
        <item x="126"/>
        <item x="278"/>
        <item x="0"/>
        <item x="423"/>
        <item x="364"/>
        <item x="257"/>
        <item x="83"/>
        <item x="309"/>
        <item x="192"/>
        <item x="13"/>
        <item x="308"/>
        <item x="253"/>
        <item x="99"/>
        <item x="458"/>
        <item x="333"/>
        <item x="476"/>
        <item x="111"/>
        <item x="431"/>
        <item x="379"/>
        <item x="471"/>
        <item x="440"/>
        <item x="112"/>
        <item x="237"/>
        <item x="335"/>
        <item x="202"/>
        <item x="210"/>
        <item x="238"/>
        <item x="149"/>
        <item x="302"/>
        <item x="36"/>
        <item x="279"/>
        <item x="304"/>
        <item x="199"/>
        <item x="415"/>
        <item x="132"/>
        <item x="96"/>
        <item x="412"/>
        <item x="360"/>
        <item x="248"/>
        <item x="147"/>
        <item x="74"/>
        <item x="417"/>
        <item x="371"/>
        <item x="401"/>
        <item x="185"/>
        <item x="232"/>
        <item x="466"/>
        <item x="332"/>
        <item x="163"/>
        <item x="234"/>
        <item x="269"/>
        <item x="289"/>
        <item x="78"/>
        <item x="370"/>
        <item x="30"/>
        <item x="122"/>
        <item x="407"/>
        <item x="341"/>
        <item x="328"/>
        <item x="61"/>
        <item x="358"/>
        <item x="43"/>
        <item x="222"/>
        <item x="87"/>
        <item x="409"/>
        <item x="108"/>
        <item x="69"/>
        <item x="342"/>
        <item x="400"/>
        <item x="195"/>
        <item x="57"/>
        <item x="251"/>
        <item x="229"/>
        <item x="460"/>
        <item x="49"/>
        <item x="330"/>
        <item x="124"/>
        <item x="443"/>
        <item x="296"/>
        <item x="21"/>
        <item x="442"/>
        <item x="95"/>
        <item x="268"/>
        <item x="266"/>
        <item x="254"/>
        <item x="306"/>
        <item x="376"/>
        <item x="462"/>
        <item x="461"/>
        <item x="244"/>
        <item x="135"/>
        <item x="150"/>
        <item x="236"/>
        <item x="65"/>
        <item x="428"/>
        <item x="143"/>
        <item x="426"/>
        <item x="383"/>
        <item x="137"/>
        <item x="148"/>
        <item x="14"/>
        <item x="361"/>
        <item x="273"/>
        <item x="338"/>
        <item x="416"/>
        <item x="345"/>
        <item x="465"/>
        <item x="322"/>
        <item x="367"/>
        <item x="301"/>
        <item x="420"/>
        <item x="402"/>
        <item x="363"/>
        <item x="231"/>
        <item x="381"/>
        <item x="300"/>
        <item x="227"/>
        <item x="107"/>
        <item t="default"/>
      </items>
    </pivotField>
    <pivotField compact="0" showAll="0">
      <items count="12">
        <item x="2"/>
        <item x="4"/>
        <item x="5"/>
        <item x="3"/>
        <item x="7"/>
        <item x="9"/>
        <item x="1"/>
        <item x="6"/>
        <item x="0"/>
        <item x="10"/>
        <item x="8"/>
        <item t="default"/>
      </items>
    </pivotField>
    <pivotField compact="0" showAll="0">
      <items count="111">
        <item x="66"/>
        <item x="103"/>
        <item x="100"/>
        <item x="12"/>
        <item x="46"/>
        <item x="95"/>
        <item x="104"/>
        <item x="96"/>
        <item x="18"/>
        <item x="38"/>
        <item x="43"/>
        <item x="48"/>
        <item x="55"/>
        <item x="35"/>
        <item x="24"/>
        <item x="84"/>
        <item x="50"/>
        <item x="60"/>
        <item x="29"/>
        <item x="92"/>
        <item x="90"/>
        <item x="68"/>
        <item x="108"/>
        <item x="67"/>
        <item x="62"/>
        <item x="11"/>
        <item x="52"/>
        <item x="74"/>
        <item x="98"/>
        <item x="73"/>
        <item x="16"/>
        <item x="79"/>
        <item x="59"/>
        <item x="37"/>
        <item x="76"/>
        <item x="71"/>
        <item x="8"/>
        <item x="97"/>
        <item x="63"/>
        <item x="58"/>
        <item x="39"/>
        <item x="13"/>
        <item x="1"/>
        <item x="54"/>
        <item x="93"/>
        <item x="23"/>
        <item x="101"/>
        <item x="32"/>
        <item x="4"/>
        <item x="9"/>
        <item x="69"/>
        <item x="99"/>
        <item x="88"/>
        <item x="105"/>
        <item x="61"/>
        <item x="21"/>
        <item x="15"/>
        <item x="44"/>
        <item x="65"/>
        <item x="82"/>
        <item x="70"/>
        <item x="51"/>
        <item x="20"/>
        <item x="83"/>
        <item x="25"/>
        <item x="72"/>
        <item x="22"/>
        <item x="0"/>
        <item x="75"/>
        <item x="34"/>
        <item x="85"/>
        <item x="3"/>
        <item x="31"/>
        <item x="40"/>
        <item x="64"/>
        <item x="42"/>
        <item x="26"/>
        <item x="5"/>
        <item x="41"/>
        <item x="102"/>
        <item x="30"/>
        <item x="89"/>
        <item x="86"/>
        <item x="78"/>
        <item x="7"/>
        <item x="80"/>
        <item x="106"/>
        <item x="87"/>
        <item x="53"/>
        <item x="56"/>
        <item x="91"/>
        <item x="6"/>
        <item x="28"/>
        <item x="33"/>
        <item x="45"/>
        <item x="81"/>
        <item x="77"/>
        <item x="94"/>
        <item x="27"/>
        <item x="19"/>
        <item x="47"/>
        <item x="14"/>
        <item x="17"/>
        <item x="57"/>
        <item x="10"/>
        <item x="36"/>
        <item x="109"/>
        <item x="49"/>
        <item x="107"/>
        <item x="2"/>
        <item t="default"/>
      </items>
    </pivotField>
    <pivotField compact="0" numFmtId="184" showAll="0">
      <items count="100">
        <item x="87"/>
        <item x="97"/>
        <item x="86"/>
        <item x="81"/>
        <item x="38"/>
        <item x="58"/>
        <item x="44"/>
        <item x="18"/>
        <item x="55"/>
        <item x="75"/>
        <item x="14"/>
        <item x="34"/>
        <item x="29"/>
        <item x="19"/>
        <item x="47"/>
        <item x="4"/>
        <item x="60"/>
        <item x="13"/>
        <item x="1"/>
        <item x="10"/>
        <item x="32"/>
        <item x="51"/>
        <item x="22"/>
        <item x="88"/>
        <item x="62"/>
        <item x="2"/>
        <item x="73"/>
        <item x="74"/>
        <item x="90"/>
        <item x="71"/>
        <item x="26"/>
        <item x="30"/>
        <item x="64"/>
        <item x="23"/>
        <item x="8"/>
        <item x="35"/>
        <item x="52"/>
        <item x="68"/>
        <item x="15"/>
        <item x="65"/>
        <item x="93"/>
        <item x="45"/>
        <item x="16"/>
        <item x="3"/>
        <item x="21"/>
        <item x="20"/>
        <item x="83"/>
        <item x="63"/>
        <item x="9"/>
        <item x="12"/>
        <item x="48"/>
        <item x="66"/>
        <item x="24"/>
        <item x="17"/>
        <item x="91"/>
        <item x="7"/>
        <item x="41"/>
        <item x="5"/>
        <item x="50"/>
        <item x="49"/>
        <item x="77"/>
        <item x="84"/>
        <item x="43"/>
        <item x="37"/>
        <item x="78"/>
        <item x="59"/>
        <item x="79"/>
        <item x="36"/>
        <item x="28"/>
        <item x="11"/>
        <item x="46"/>
        <item x="69"/>
        <item x="25"/>
        <item x="31"/>
        <item x="6"/>
        <item x="57"/>
        <item x="67"/>
        <item x="39"/>
        <item x="33"/>
        <item x="70"/>
        <item x="95"/>
        <item x="80"/>
        <item x="85"/>
        <item x="53"/>
        <item x="56"/>
        <item x="92"/>
        <item x="89"/>
        <item x="27"/>
        <item x="61"/>
        <item x="76"/>
        <item x="96"/>
        <item x="54"/>
        <item x="98"/>
        <item x="82"/>
        <item x="42"/>
        <item x="94"/>
        <item x="0"/>
        <item x="40"/>
        <item x="72"/>
        <item t="default"/>
      </items>
    </pivotField>
    <pivotField dataField="1" compact="0" numFmtId="182" showAll="0">
      <items count="52">
        <item x="11"/>
        <item x="24"/>
        <item x="50"/>
        <item x="17"/>
        <item x="1"/>
        <item x="47"/>
        <item x="31"/>
        <item x="29"/>
        <item x="49"/>
        <item x="38"/>
        <item x="27"/>
        <item x="37"/>
        <item x="5"/>
        <item x="10"/>
        <item x="45"/>
        <item x="3"/>
        <item x="21"/>
        <item x="32"/>
        <item x="26"/>
        <item x="28"/>
        <item x="12"/>
        <item x="16"/>
        <item x="2"/>
        <item x="44"/>
        <item x="40"/>
        <item x="9"/>
        <item x="33"/>
        <item x="8"/>
        <item x="39"/>
        <item x="34"/>
        <item x="42"/>
        <item x="18"/>
        <item x="4"/>
        <item x="35"/>
        <item x="7"/>
        <item x="36"/>
        <item x="30"/>
        <item x="14"/>
        <item x="6"/>
        <item x="15"/>
        <item x="22"/>
        <item x="43"/>
        <item x="20"/>
        <item x="13"/>
        <item x="48"/>
        <item x="25"/>
        <item x="46"/>
        <item x="41"/>
        <item x="23"/>
        <item x="19"/>
        <item x="0"/>
        <item t="default"/>
      </items>
    </pivotField>
    <pivotField compact="0" showAll="0">
      <items count="3">
        <item x="0"/>
        <item x="1"/>
        <item t="default"/>
      </items>
    </pivotField>
  </pivotFields>
  <dataFields count="1">
    <dataField name="Avg Performance_" fld="9" subtotal="average" baseField="0" baseItem="0"/>
  </dataFields>
  <formats count="5">
    <format dxfId="28">
      <pivotArea collapsedLevelsAreSubtotals="1" fieldPosition="0"/>
    </format>
    <format dxfId="29">
      <pivotArea collapsedLevelsAreSubtotals="1" fieldPosition="0"/>
    </format>
    <format dxfId="30">
      <pivotArea collapsedLevelsAreSubtotals="1" fieldPosition="0"/>
    </format>
    <format dxfId="31">
      <pivotArea collapsedLevelsAreSubtotals="1" fieldPosition="0"/>
    </format>
    <format dxfId="32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8">
  <location ref="C7:D16" firstHeaderRow="1" firstDataRow="1" firstDataCol="1"/>
  <pivotFields count="11">
    <pivotField compact="0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dataField="1" compact="0" showAll="0">
      <items count="301">
        <item x="72"/>
        <item x="33"/>
        <item x="240"/>
        <item x="132"/>
        <item x="95"/>
        <item x="183"/>
        <item x="163"/>
        <item x="119"/>
        <item x="246"/>
        <item x="52"/>
        <item x="265"/>
        <item x="271"/>
        <item x="23"/>
        <item x="12"/>
        <item x="162"/>
        <item x="233"/>
        <item x="71"/>
        <item x="112"/>
        <item x="53"/>
        <item x="105"/>
        <item x="21"/>
        <item x="84"/>
        <item x="159"/>
        <item x="125"/>
        <item x="193"/>
        <item x="144"/>
        <item x="111"/>
        <item x="122"/>
        <item x="30"/>
        <item x="298"/>
        <item x="66"/>
        <item x="78"/>
        <item x="130"/>
        <item x="262"/>
        <item x="59"/>
        <item x="211"/>
        <item x="36"/>
        <item x="219"/>
        <item x="82"/>
        <item x="220"/>
        <item x="134"/>
        <item x="283"/>
        <item x="224"/>
        <item x="31"/>
        <item x="108"/>
        <item x="51"/>
        <item x="168"/>
        <item x="184"/>
        <item x="172"/>
        <item x="229"/>
        <item x="213"/>
        <item x="268"/>
        <item x="234"/>
        <item x="102"/>
        <item x="238"/>
        <item x="14"/>
        <item x="226"/>
        <item x="118"/>
        <item x="270"/>
        <item x="133"/>
        <item x="138"/>
        <item x="3"/>
        <item x="290"/>
        <item x="94"/>
        <item x="76"/>
        <item x="107"/>
        <item x="147"/>
        <item x="38"/>
        <item x="281"/>
        <item x="113"/>
        <item x="264"/>
        <item x="255"/>
        <item x="10"/>
        <item x="140"/>
        <item x="236"/>
        <item x="29"/>
        <item x="198"/>
        <item x="151"/>
        <item x="146"/>
        <item x="223"/>
        <item x="215"/>
        <item x="32"/>
        <item x="2"/>
        <item x="197"/>
        <item x="25"/>
        <item x="263"/>
        <item x="249"/>
        <item x="243"/>
        <item x="275"/>
        <item x="17"/>
        <item x="11"/>
        <item x="100"/>
        <item x="228"/>
        <item x="87"/>
        <item x="164"/>
        <item x="60"/>
        <item x="296"/>
        <item x="48"/>
        <item x="37"/>
        <item x="187"/>
        <item x="5"/>
        <item x="92"/>
        <item x="167"/>
        <item x="149"/>
        <item x="135"/>
        <item x="80"/>
        <item x="58"/>
        <item x="267"/>
        <item x="57"/>
        <item x="274"/>
        <item x="110"/>
        <item x="174"/>
        <item x="217"/>
        <item x="177"/>
        <item x="227"/>
        <item x="291"/>
        <item x="203"/>
        <item x="68"/>
        <item x="55"/>
        <item x="77"/>
        <item x="292"/>
        <item x="259"/>
        <item x="277"/>
        <item x="221"/>
        <item x="180"/>
        <item x="293"/>
        <item x="247"/>
        <item x="191"/>
        <item x="96"/>
        <item x="22"/>
        <item x="166"/>
        <item x="156"/>
        <item x="137"/>
        <item x="261"/>
        <item x="207"/>
        <item x="210"/>
        <item x="136"/>
        <item x="120"/>
        <item x="280"/>
        <item x="73"/>
        <item x="24"/>
        <item x="278"/>
        <item x="195"/>
        <item x="152"/>
        <item x="208"/>
        <item x="49"/>
        <item x="47"/>
        <item x="27"/>
        <item x="258"/>
        <item x="90"/>
        <item x="85"/>
        <item x="222"/>
        <item x="204"/>
        <item x="64"/>
        <item x="19"/>
        <item x="128"/>
        <item x="235"/>
        <item x="185"/>
        <item x="9"/>
        <item x="181"/>
        <item x="93"/>
        <item x="266"/>
        <item x="209"/>
        <item x="13"/>
        <item x="116"/>
        <item x="239"/>
        <item x="216"/>
        <item x="8"/>
        <item x="91"/>
        <item x="202"/>
        <item x="16"/>
        <item x="81"/>
        <item x="257"/>
        <item x="201"/>
        <item x="295"/>
        <item x="175"/>
        <item x="40"/>
        <item x="4"/>
        <item x="98"/>
        <item x="189"/>
        <item x="182"/>
        <item x="279"/>
        <item x="65"/>
        <item x="63"/>
        <item x="124"/>
        <item x="288"/>
        <item x="254"/>
        <item x="145"/>
        <item x="169"/>
        <item x="241"/>
        <item x="50"/>
        <item x="206"/>
        <item x="157"/>
        <item x="253"/>
        <item x="129"/>
        <item x="194"/>
        <item x="205"/>
        <item x="287"/>
        <item x="252"/>
        <item x="44"/>
        <item x="212"/>
        <item x="75"/>
        <item x="39"/>
        <item x="250"/>
        <item x="176"/>
        <item x="178"/>
        <item x="192"/>
        <item x="86"/>
        <item x="104"/>
        <item x="188"/>
        <item x="41"/>
        <item x="127"/>
        <item x="45"/>
        <item x="286"/>
        <item x="150"/>
        <item x="131"/>
        <item x="245"/>
        <item x="173"/>
        <item x="196"/>
        <item x="126"/>
        <item x="190"/>
        <item x="237"/>
        <item x="43"/>
        <item x="294"/>
        <item x="28"/>
        <item x="186"/>
        <item x="34"/>
        <item x="35"/>
        <item x="54"/>
        <item x="143"/>
        <item x="42"/>
        <item x="7"/>
        <item x="284"/>
        <item x="160"/>
        <item x="142"/>
        <item x="69"/>
        <item x="46"/>
        <item x="74"/>
        <item x="230"/>
        <item x="256"/>
        <item x="89"/>
        <item x="18"/>
        <item x="297"/>
        <item x="67"/>
        <item x="117"/>
        <item x="242"/>
        <item x="154"/>
        <item x="61"/>
        <item x="62"/>
        <item x="251"/>
        <item x="225"/>
        <item x="276"/>
        <item x="15"/>
        <item x="101"/>
        <item x="99"/>
        <item x="26"/>
        <item x="214"/>
        <item x="170"/>
        <item x="6"/>
        <item x="83"/>
        <item x="70"/>
        <item x="97"/>
        <item x="289"/>
        <item x="171"/>
        <item x="272"/>
        <item x="299"/>
        <item x="200"/>
        <item x="123"/>
        <item x="232"/>
        <item x="269"/>
        <item x="114"/>
        <item x="79"/>
        <item x="165"/>
        <item x="244"/>
        <item x="109"/>
        <item x="161"/>
        <item x="155"/>
        <item x="158"/>
        <item x="248"/>
        <item x="153"/>
        <item x="115"/>
        <item x="199"/>
        <item x="103"/>
        <item x="1"/>
        <item x="88"/>
        <item x="260"/>
        <item x="179"/>
        <item x="139"/>
        <item x="106"/>
        <item x="231"/>
        <item x="282"/>
        <item x="273"/>
        <item x="121"/>
        <item x="285"/>
        <item x="20"/>
        <item x="141"/>
        <item x="56"/>
        <item x="218"/>
        <item x="148"/>
        <item x="0"/>
        <item t="default"/>
      </items>
    </pivotField>
    <pivotField compact="0" showAll="0">
      <items count="3">
        <item x="0"/>
        <item x="1"/>
        <item t="default"/>
      </items>
    </pivotField>
    <pivotField axis="axisRow" compact="0" sortType="ascending" showAll="0">
      <items count="9">
        <item x="4"/>
        <item x="7"/>
        <item x="5"/>
        <item x="2"/>
        <item x="1"/>
        <item x="6"/>
        <item x="3"/>
        <item x="0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6">
        <item x="1"/>
        <item x="2"/>
        <item x="0"/>
        <item x="3"/>
        <item x="4"/>
        <item t="default"/>
      </items>
    </pivotField>
    <pivotField compact="0" numFmtId="185" showAll="0">
      <items count="47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t="default"/>
      </items>
    </pivotField>
    <pivotField compact="0" showAll="0">
      <items count="12">
        <item x="2"/>
        <item x="4"/>
        <item x="5"/>
        <item x="3"/>
        <item x="7"/>
        <item x="9"/>
        <item x="1"/>
        <item x="6"/>
        <item x="0"/>
        <item x="10"/>
        <item x="8"/>
        <item t="default"/>
      </items>
    </pivotField>
    <pivotField compact="0" showAll="0">
      <items count="111">
        <item x="74"/>
        <item x="1"/>
        <item x="2"/>
        <item x="3"/>
        <item x="4"/>
        <item x="5"/>
        <item x="6"/>
        <item x="7"/>
        <item x="8"/>
        <item x="9"/>
        <item x="10"/>
        <item x="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compact="0" numFmtId="184" showAll="0">
      <items count="100">
        <item x="34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5"/>
        <item x="36"/>
        <item x="37"/>
        <item x="38"/>
        <item x="39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53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0"/>
        <item x="40"/>
        <item x="72"/>
        <item t="default"/>
      </items>
    </pivotField>
    <pivotField compact="0" numFmtId="182" showAll="0">
      <items count="52">
        <item x="3"/>
        <item x="1"/>
        <item x="2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0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3"/>
  </rowFields>
  <rowItems count="9">
    <i>
      <x v="7"/>
    </i>
    <i>
      <x/>
    </i>
    <i>
      <x v="5"/>
    </i>
    <i>
      <x v="6"/>
    </i>
    <i>
      <x v="3"/>
    </i>
    <i>
      <x v="2"/>
    </i>
    <i>
      <x v="1"/>
    </i>
    <i>
      <x v="4"/>
    </i>
    <i t="grand">
      <x/>
    </i>
  </rowItems>
  <colItems count="1">
    <i/>
  </colItems>
  <dataFields count="1">
    <dataField name="Count of Employee_Name" fld="1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5.xml><?xml version="1.0" encoding="utf-8"?>
<pivotTableDefinition xmlns="http://schemas.openxmlformats.org/spreadsheetml/2006/main" name="PivotTable1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C60:E77" firstHeaderRow="1" firstDataRow="1" firstDataCol="0"/>
  <pivotFields count="11">
    <pivotField compact="0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compact="0" showAll="0">
      <items count="301">
        <item x="72"/>
        <item x="33"/>
        <item x="240"/>
        <item x="132"/>
        <item x="95"/>
        <item x="183"/>
        <item x="163"/>
        <item x="119"/>
        <item x="246"/>
        <item x="52"/>
        <item x="265"/>
        <item x="271"/>
        <item x="23"/>
        <item x="12"/>
        <item x="162"/>
        <item x="233"/>
        <item x="71"/>
        <item x="112"/>
        <item x="53"/>
        <item x="105"/>
        <item x="21"/>
        <item x="84"/>
        <item x="159"/>
        <item x="125"/>
        <item x="193"/>
        <item x="144"/>
        <item x="111"/>
        <item x="122"/>
        <item x="30"/>
        <item x="298"/>
        <item x="66"/>
        <item x="78"/>
        <item x="130"/>
        <item x="262"/>
        <item x="59"/>
        <item x="211"/>
        <item x="36"/>
        <item x="219"/>
        <item x="82"/>
        <item x="220"/>
        <item x="134"/>
        <item x="283"/>
        <item x="224"/>
        <item x="31"/>
        <item x="108"/>
        <item x="51"/>
        <item x="168"/>
        <item x="184"/>
        <item x="172"/>
        <item x="229"/>
        <item x="213"/>
        <item x="268"/>
        <item x="234"/>
        <item x="102"/>
        <item x="238"/>
        <item x="14"/>
        <item x="226"/>
        <item x="118"/>
        <item x="270"/>
        <item x="133"/>
        <item x="138"/>
        <item x="3"/>
        <item x="290"/>
        <item x="94"/>
        <item x="76"/>
        <item x="107"/>
        <item x="147"/>
        <item x="38"/>
        <item x="281"/>
        <item x="113"/>
        <item x="264"/>
        <item x="255"/>
        <item x="10"/>
        <item x="140"/>
        <item x="236"/>
        <item x="29"/>
        <item x="198"/>
        <item x="151"/>
        <item x="146"/>
        <item x="223"/>
        <item x="215"/>
        <item x="32"/>
        <item x="2"/>
        <item x="197"/>
        <item x="25"/>
        <item x="263"/>
        <item x="249"/>
        <item x="243"/>
        <item x="275"/>
        <item x="17"/>
        <item x="11"/>
        <item x="100"/>
        <item x="228"/>
        <item x="87"/>
        <item x="164"/>
        <item x="60"/>
        <item x="296"/>
        <item x="48"/>
        <item x="37"/>
        <item x="187"/>
        <item x="5"/>
        <item x="92"/>
        <item x="167"/>
        <item x="149"/>
        <item x="135"/>
        <item x="80"/>
        <item x="58"/>
        <item x="267"/>
        <item x="57"/>
        <item x="274"/>
        <item x="110"/>
        <item x="174"/>
        <item x="217"/>
        <item x="177"/>
        <item x="227"/>
        <item x="291"/>
        <item x="203"/>
        <item x="68"/>
        <item x="55"/>
        <item x="77"/>
        <item x="292"/>
        <item x="259"/>
        <item x="277"/>
        <item x="221"/>
        <item x="180"/>
        <item x="293"/>
        <item x="247"/>
        <item x="191"/>
        <item x="96"/>
        <item x="22"/>
        <item x="166"/>
        <item x="156"/>
        <item x="137"/>
        <item x="261"/>
        <item x="207"/>
        <item x="210"/>
        <item x="136"/>
        <item x="120"/>
        <item x="280"/>
        <item x="73"/>
        <item x="24"/>
        <item x="278"/>
        <item x="195"/>
        <item x="152"/>
        <item x="208"/>
        <item x="49"/>
        <item x="47"/>
        <item x="27"/>
        <item x="258"/>
        <item x="90"/>
        <item x="85"/>
        <item x="222"/>
        <item x="204"/>
        <item x="64"/>
        <item x="19"/>
        <item x="128"/>
        <item x="235"/>
        <item x="185"/>
        <item x="9"/>
        <item x="181"/>
        <item x="93"/>
        <item x="266"/>
        <item x="209"/>
        <item x="13"/>
        <item x="116"/>
        <item x="239"/>
        <item x="216"/>
        <item x="8"/>
        <item x="91"/>
        <item x="202"/>
        <item x="16"/>
        <item x="81"/>
        <item x="257"/>
        <item x="201"/>
        <item x="295"/>
        <item x="175"/>
        <item x="40"/>
        <item x="4"/>
        <item x="98"/>
        <item x="189"/>
        <item x="182"/>
        <item x="279"/>
        <item x="65"/>
        <item x="63"/>
        <item x="124"/>
        <item x="288"/>
        <item x="254"/>
        <item x="145"/>
        <item x="169"/>
        <item x="241"/>
        <item x="50"/>
        <item x="206"/>
        <item x="157"/>
        <item x="253"/>
        <item x="129"/>
        <item x="194"/>
        <item x="205"/>
        <item x="287"/>
        <item x="252"/>
        <item x="44"/>
        <item x="212"/>
        <item x="75"/>
        <item x="39"/>
        <item x="250"/>
        <item x="176"/>
        <item x="178"/>
        <item x="192"/>
        <item x="86"/>
        <item x="104"/>
        <item x="188"/>
        <item x="41"/>
        <item x="127"/>
        <item x="45"/>
        <item x="286"/>
        <item x="150"/>
        <item x="131"/>
        <item x="245"/>
        <item x="173"/>
        <item x="196"/>
        <item x="126"/>
        <item x="190"/>
        <item x="237"/>
        <item x="43"/>
        <item x="294"/>
        <item x="28"/>
        <item x="186"/>
        <item x="34"/>
        <item x="35"/>
        <item x="54"/>
        <item x="143"/>
        <item x="42"/>
        <item x="7"/>
        <item x="284"/>
        <item x="160"/>
        <item x="142"/>
        <item x="69"/>
        <item x="46"/>
        <item x="74"/>
        <item x="230"/>
        <item x="256"/>
        <item x="89"/>
        <item x="18"/>
        <item x="297"/>
        <item x="67"/>
        <item x="117"/>
        <item x="242"/>
        <item x="154"/>
        <item x="61"/>
        <item x="62"/>
        <item x="251"/>
        <item x="225"/>
        <item x="276"/>
        <item x="15"/>
        <item x="101"/>
        <item x="99"/>
        <item x="26"/>
        <item x="214"/>
        <item x="170"/>
        <item x="6"/>
        <item x="83"/>
        <item x="70"/>
        <item x="97"/>
        <item x="289"/>
        <item x="171"/>
        <item x="272"/>
        <item x="299"/>
        <item x="200"/>
        <item x="123"/>
        <item x="232"/>
        <item x="269"/>
        <item x="114"/>
        <item x="79"/>
        <item x="165"/>
        <item x="244"/>
        <item x="109"/>
        <item x="161"/>
        <item x="155"/>
        <item x="158"/>
        <item x="248"/>
        <item x="153"/>
        <item x="115"/>
        <item x="199"/>
        <item x="103"/>
        <item x="1"/>
        <item x="88"/>
        <item x="260"/>
        <item x="179"/>
        <item x="139"/>
        <item x="106"/>
        <item x="231"/>
        <item x="282"/>
        <item x="273"/>
        <item x="121"/>
        <item x="285"/>
        <item x="20"/>
        <item x="141"/>
        <item x="56"/>
        <item x="218"/>
        <item x="148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9">
        <item x="3"/>
        <item x="6"/>
        <item x="1"/>
        <item x="2"/>
        <item x="5"/>
        <item x="7"/>
        <item x="4"/>
        <item x="0"/>
        <item t="default"/>
      </items>
    </pivotField>
    <pivotField compact="0" showAll="0">
      <items count="6">
        <item x="4"/>
        <item x="0"/>
        <item x="2"/>
        <item x="1"/>
        <item x="3"/>
        <item t="default"/>
      </items>
    </pivotField>
    <pivotField compact="0" numFmtId="185" showAll="0">
      <items count="478">
        <item x="433"/>
        <item x="58"/>
        <item x="2"/>
        <item x="343"/>
        <item x="354"/>
        <item x="472"/>
        <item x="161"/>
        <item x="233"/>
        <item x="437"/>
        <item x="71"/>
        <item x="138"/>
        <item x="98"/>
        <item x="205"/>
        <item x="404"/>
        <item x="456"/>
        <item x="45"/>
        <item x="350"/>
        <item x="193"/>
        <item x="445"/>
        <item x="450"/>
        <item x="11"/>
        <item x="188"/>
        <item x="89"/>
        <item x="213"/>
        <item x="285"/>
        <item x="384"/>
        <item x="422"/>
        <item x="414"/>
        <item x="258"/>
        <item x="20"/>
        <item x="169"/>
        <item x="17"/>
        <item x="260"/>
        <item x="68"/>
        <item x="156"/>
        <item x="307"/>
        <item x="311"/>
        <item x="362"/>
        <item x="82"/>
        <item x="23"/>
        <item x="133"/>
        <item x="425"/>
        <item x="34"/>
        <item x="373"/>
        <item x="470"/>
        <item x="182"/>
        <item x="369"/>
        <item x="245"/>
        <item x="393"/>
        <item x="230"/>
        <item x="313"/>
        <item x="130"/>
        <item x="145"/>
        <item x="331"/>
        <item x="261"/>
        <item x="160"/>
        <item x="475"/>
        <item x="256"/>
        <item x="225"/>
        <item x="270"/>
        <item x="159"/>
        <item x="176"/>
        <item x="63"/>
        <item x="386"/>
        <item x="365"/>
        <item x="154"/>
        <item x="468"/>
        <item x="41"/>
        <item x="452"/>
        <item x="187"/>
        <item x="429"/>
        <item x="166"/>
        <item x="216"/>
        <item x="37"/>
        <item x="35"/>
        <item x="105"/>
        <item x="314"/>
        <item x="6"/>
        <item x="7"/>
        <item x="67"/>
        <item x="453"/>
        <item x="178"/>
        <item x="405"/>
        <item x="324"/>
        <item x="395"/>
        <item x="207"/>
        <item x="372"/>
        <item x="388"/>
        <item x="444"/>
        <item x="303"/>
        <item x="153"/>
        <item x="88"/>
        <item x="474"/>
        <item x="294"/>
        <item x="103"/>
        <item x="272"/>
        <item x="396"/>
        <item x="84"/>
        <item x="246"/>
        <item x="226"/>
        <item x="375"/>
        <item x="378"/>
        <item x="181"/>
        <item x="467"/>
        <item x="209"/>
        <item x="385"/>
        <item x="352"/>
        <item x="316"/>
        <item x="239"/>
        <item x="139"/>
        <item x="344"/>
        <item x="419"/>
        <item x="380"/>
        <item x="454"/>
        <item x="46"/>
        <item x="394"/>
        <item x="340"/>
        <item x="8"/>
        <item x="131"/>
        <item x="382"/>
        <item x="264"/>
        <item x="284"/>
        <item x="298"/>
        <item x="172"/>
        <item x="221"/>
        <item x="283"/>
        <item x="305"/>
        <item x="196"/>
        <item x="357"/>
        <item x="406"/>
        <item x="249"/>
        <item x="250"/>
        <item x="356"/>
        <item x="38"/>
        <item x="48"/>
        <item x="446"/>
        <item x="297"/>
        <item x="355"/>
        <item x="418"/>
        <item x="368"/>
        <item x="140"/>
        <item x="152"/>
        <item x="287"/>
        <item x="109"/>
        <item x="336"/>
        <item x="55"/>
        <item x="174"/>
        <item x="346"/>
        <item x="5"/>
        <item x="208"/>
        <item x="247"/>
        <item x="121"/>
        <item x="33"/>
        <item x="53"/>
        <item x="86"/>
        <item x="168"/>
        <item x="339"/>
        <item x="389"/>
        <item x="56"/>
        <item x="413"/>
        <item x="275"/>
        <item x="102"/>
        <item x="115"/>
        <item x="220"/>
        <item x="464"/>
        <item x="421"/>
        <item x="52"/>
        <item x="391"/>
        <item x="44"/>
        <item x="110"/>
        <item x="39"/>
        <item x="392"/>
        <item x="79"/>
        <item x="164"/>
        <item x="80"/>
        <item x="459"/>
        <item x="3"/>
        <item x="212"/>
        <item x="214"/>
        <item x="175"/>
        <item x="165"/>
        <item x="377"/>
        <item x="42"/>
        <item x="141"/>
        <item x="136"/>
        <item x="127"/>
        <item x="203"/>
        <item x="325"/>
        <item x="180"/>
        <item x="197"/>
        <item x="271"/>
        <item x="204"/>
        <item x="118"/>
        <item x="235"/>
        <item x="449"/>
        <item x="12"/>
        <item x="447"/>
        <item x="293"/>
        <item x="28"/>
        <item x="347"/>
        <item x="317"/>
        <item x="397"/>
        <item x="299"/>
        <item x="123"/>
        <item x="274"/>
        <item x="31"/>
        <item x="211"/>
        <item x="281"/>
        <item x="184"/>
        <item x="351"/>
        <item x="190"/>
        <item x="162"/>
        <item x="142"/>
        <item x="25"/>
        <item x="326"/>
        <item x="75"/>
        <item x="91"/>
        <item x="76"/>
        <item x="434"/>
        <item x="201"/>
        <item x="183"/>
        <item x="327"/>
        <item x="219"/>
        <item x="157"/>
        <item x="117"/>
        <item x="200"/>
        <item x="179"/>
        <item x="171"/>
        <item x="321"/>
        <item x="430"/>
        <item x="353"/>
        <item x="155"/>
        <item x="457"/>
        <item x="106"/>
        <item x="59"/>
        <item x="72"/>
        <item x="114"/>
        <item x="93"/>
        <item x="399"/>
        <item x="18"/>
        <item x="312"/>
        <item x="252"/>
        <item x="194"/>
        <item x="144"/>
        <item x="128"/>
        <item x="62"/>
        <item x="27"/>
        <item x="320"/>
        <item x="81"/>
        <item x="292"/>
        <item x="97"/>
        <item x="218"/>
        <item x="455"/>
        <item x="223"/>
        <item x="310"/>
        <item x="463"/>
        <item x="228"/>
        <item x="189"/>
        <item x="267"/>
        <item x="113"/>
        <item x="403"/>
        <item x="50"/>
        <item x="10"/>
        <item x="22"/>
        <item x="70"/>
        <item x="265"/>
        <item x="64"/>
        <item x="66"/>
        <item x="441"/>
        <item x="104"/>
        <item x="26"/>
        <item x="4"/>
        <item x="191"/>
        <item x="170"/>
        <item x="60"/>
        <item x="40"/>
        <item x="323"/>
        <item x="286"/>
        <item x="349"/>
        <item x="73"/>
        <item x="29"/>
        <item x="366"/>
        <item x="334"/>
        <item x="408"/>
        <item x="224"/>
        <item x="276"/>
        <item x="427"/>
        <item x="387"/>
        <item x="288"/>
        <item x="85"/>
        <item x="158"/>
        <item x="348"/>
        <item x="329"/>
        <item x="295"/>
        <item x="177"/>
        <item x="16"/>
        <item x="398"/>
        <item x="1"/>
        <item x="390"/>
        <item x="146"/>
        <item x="439"/>
        <item x="90"/>
        <item x="54"/>
        <item x="410"/>
        <item x="15"/>
        <item x="291"/>
        <item x="240"/>
        <item x="77"/>
        <item x="119"/>
        <item x="51"/>
        <item x="215"/>
        <item x="92"/>
        <item x="337"/>
        <item x="374"/>
        <item x="116"/>
        <item x="100"/>
        <item x="424"/>
        <item x="315"/>
        <item x="217"/>
        <item x="259"/>
        <item x="473"/>
        <item x="436"/>
        <item x="243"/>
        <item x="242"/>
        <item x="24"/>
        <item x="277"/>
        <item x="9"/>
        <item x="151"/>
        <item x="32"/>
        <item x="120"/>
        <item x="282"/>
        <item x="129"/>
        <item x="173"/>
        <item x="47"/>
        <item x="255"/>
        <item x="167"/>
        <item x="469"/>
        <item x="411"/>
        <item x="94"/>
        <item x="290"/>
        <item x="198"/>
        <item x="319"/>
        <item x="101"/>
        <item x="186"/>
        <item x="134"/>
        <item x="451"/>
        <item x="438"/>
        <item x="206"/>
        <item x="318"/>
        <item x="280"/>
        <item x="19"/>
        <item x="359"/>
        <item x="241"/>
        <item x="262"/>
        <item x="125"/>
        <item x="263"/>
        <item x="448"/>
        <item x="435"/>
        <item x="432"/>
        <item x="126"/>
        <item x="278"/>
        <item x="0"/>
        <item x="423"/>
        <item x="364"/>
        <item x="257"/>
        <item x="83"/>
        <item x="309"/>
        <item x="192"/>
        <item x="13"/>
        <item x="308"/>
        <item x="253"/>
        <item x="99"/>
        <item x="458"/>
        <item x="333"/>
        <item x="476"/>
        <item x="111"/>
        <item x="431"/>
        <item x="379"/>
        <item x="471"/>
        <item x="440"/>
        <item x="112"/>
        <item x="237"/>
        <item x="335"/>
        <item x="202"/>
        <item x="210"/>
        <item x="238"/>
        <item x="149"/>
        <item x="302"/>
        <item x="36"/>
        <item x="279"/>
        <item x="304"/>
        <item x="199"/>
        <item x="415"/>
        <item x="132"/>
        <item x="96"/>
        <item x="412"/>
        <item x="360"/>
        <item x="248"/>
        <item x="147"/>
        <item x="74"/>
        <item x="417"/>
        <item x="371"/>
        <item x="401"/>
        <item x="185"/>
        <item x="232"/>
        <item x="466"/>
        <item x="332"/>
        <item x="163"/>
        <item x="234"/>
        <item x="269"/>
        <item x="289"/>
        <item x="78"/>
        <item x="370"/>
        <item x="30"/>
        <item x="122"/>
        <item x="407"/>
        <item x="341"/>
        <item x="328"/>
        <item x="61"/>
        <item x="358"/>
        <item x="43"/>
        <item x="222"/>
        <item x="87"/>
        <item x="409"/>
        <item x="108"/>
        <item x="69"/>
        <item x="342"/>
        <item x="400"/>
        <item x="195"/>
        <item x="57"/>
        <item x="251"/>
        <item x="229"/>
        <item x="460"/>
        <item x="49"/>
        <item x="330"/>
        <item x="124"/>
        <item x="443"/>
        <item x="296"/>
        <item x="21"/>
        <item x="442"/>
        <item x="95"/>
        <item x="268"/>
        <item x="266"/>
        <item x="254"/>
        <item x="306"/>
        <item x="376"/>
        <item x="462"/>
        <item x="461"/>
        <item x="244"/>
        <item x="135"/>
        <item x="150"/>
        <item x="236"/>
        <item x="65"/>
        <item x="428"/>
        <item x="143"/>
        <item x="426"/>
        <item x="383"/>
        <item x="137"/>
        <item x="148"/>
        <item x="14"/>
        <item x="361"/>
        <item x="273"/>
        <item x="338"/>
        <item x="416"/>
        <item x="345"/>
        <item x="465"/>
        <item x="322"/>
        <item x="367"/>
        <item x="301"/>
        <item x="420"/>
        <item x="402"/>
        <item x="363"/>
        <item x="231"/>
        <item x="381"/>
        <item x="300"/>
        <item x="227"/>
        <item x="107"/>
        <item t="default"/>
      </items>
    </pivotField>
    <pivotField compact="0" showAll="0">
      <items count="12">
        <item x="2"/>
        <item x="4"/>
        <item x="5"/>
        <item x="3"/>
        <item x="7"/>
        <item x="9"/>
        <item x="1"/>
        <item x="6"/>
        <item x="0"/>
        <item x="10"/>
        <item x="8"/>
        <item t="default"/>
      </items>
    </pivotField>
    <pivotField compact="0" showAll="0">
      <items count="111">
        <item x="66"/>
        <item x="103"/>
        <item x="100"/>
        <item x="12"/>
        <item x="46"/>
        <item x="95"/>
        <item x="104"/>
        <item x="96"/>
        <item x="18"/>
        <item x="38"/>
        <item x="43"/>
        <item x="48"/>
        <item x="55"/>
        <item x="35"/>
        <item x="24"/>
        <item x="84"/>
        <item x="50"/>
        <item x="60"/>
        <item x="29"/>
        <item x="92"/>
        <item x="90"/>
        <item x="68"/>
        <item x="108"/>
        <item x="67"/>
        <item x="62"/>
        <item x="11"/>
        <item x="52"/>
        <item x="74"/>
        <item x="98"/>
        <item x="73"/>
        <item x="16"/>
        <item x="79"/>
        <item x="59"/>
        <item x="37"/>
        <item x="76"/>
        <item x="71"/>
        <item x="8"/>
        <item x="97"/>
        <item x="63"/>
        <item x="58"/>
        <item x="39"/>
        <item x="13"/>
        <item x="1"/>
        <item x="54"/>
        <item x="93"/>
        <item x="23"/>
        <item x="101"/>
        <item x="32"/>
        <item x="4"/>
        <item x="9"/>
        <item x="69"/>
        <item x="99"/>
        <item x="88"/>
        <item x="105"/>
        <item x="61"/>
        <item x="21"/>
        <item x="15"/>
        <item x="44"/>
        <item x="65"/>
        <item x="82"/>
        <item x="70"/>
        <item x="51"/>
        <item x="20"/>
        <item x="83"/>
        <item x="25"/>
        <item x="72"/>
        <item x="22"/>
        <item x="0"/>
        <item x="75"/>
        <item x="34"/>
        <item x="85"/>
        <item x="3"/>
        <item x="31"/>
        <item x="40"/>
        <item x="64"/>
        <item x="42"/>
        <item x="26"/>
        <item x="5"/>
        <item x="41"/>
        <item x="102"/>
        <item x="30"/>
        <item x="89"/>
        <item x="86"/>
        <item x="78"/>
        <item x="7"/>
        <item x="80"/>
        <item x="106"/>
        <item x="87"/>
        <item x="53"/>
        <item x="56"/>
        <item x="91"/>
        <item x="6"/>
        <item x="28"/>
        <item x="33"/>
        <item x="45"/>
        <item x="81"/>
        <item x="77"/>
        <item x="94"/>
        <item x="27"/>
        <item x="19"/>
        <item x="47"/>
        <item x="14"/>
        <item x="17"/>
        <item x="57"/>
        <item x="10"/>
        <item x="36"/>
        <item x="109"/>
        <item x="49"/>
        <item x="107"/>
        <item x="2"/>
        <item t="default"/>
      </items>
    </pivotField>
    <pivotField compact="0" numFmtId="184" showAll="0">
      <items count="100">
        <item x="87"/>
        <item x="97"/>
        <item x="86"/>
        <item x="81"/>
        <item x="38"/>
        <item x="58"/>
        <item x="44"/>
        <item x="18"/>
        <item x="55"/>
        <item x="75"/>
        <item x="14"/>
        <item x="34"/>
        <item x="29"/>
        <item x="19"/>
        <item x="47"/>
        <item x="4"/>
        <item x="60"/>
        <item x="13"/>
        <item x="1"/>
        <item x="10"/>
        <item x="32"/>
        <item x="51"/>
        <item x="22"/>
        <item x="88"/>
        <item x="62"/>
        <item x="2"/>
        <item x="73"/>
        <item x="74"/>
        <item x="90"/>
        <item x="71"/>
        <item x="26"/>
        <item x="30"/>
        <item x="64"/>
        <item x="23"/>
        <item x="8"/>
        <item x="35"/>
        <item x="52"/>
        <item x="68"/>
        <item x="15"/>
        <item x="65"/>
        <item x="93"/>
        <item x="45"/>
        <item x="16"/>
        <item x="3"/>
        <item x="21"/>
        <item x="20"/>
        <item x="83"/>
        <item x="63"/>
        <item x="9"/>
        <item x="12"/>
        <item x="48"/>
        <item x="66"/>
        <item x="24"/>
        <item x="17"/>
        <item x="91"/>
        <item x="7"/>
        <item x="41"/>
        <item x="5"/>
        <item x="50"/>
        <item x="49"/>
        <item x="77"/>
        <item x="84"/>
        <item x="43"/>
        <item x="37"/>
        <item x="78"/>
        <item x="59"/>
        <item x="79"/>
        <item x="36"/>
        <item x="28"/>
        <item x="11"/>
        <item x="46"/>
        <item x="69"/>
        <item x="25"/>
        <item x="31"/>
        <item x="6"/>
        <item x="57"/>
        <item x="67"/>
        <item x="39"/>
        <item x="33"/>
        <item x="70"/>
        <item x="95"/>
        <item x="80"/>
        <item x="85"/>
        <item x="53"/>
        <item x="56"/>
        <item x="92"/>
        <item x="89"/>
        <item x="27"/>
        <item x="61"/>
        <item x="76"/>
        <item x="96"/>
        <item x="54"/>
        <item x="98"/>
        <item x="82"/>
        <item x="42"/>
        <item x="94"/>
        <item x="0"/>
        <item x="40"/>
        <item x="72"/>
        <item t="default"/>
      </items>
    </pivotField>
    <pivotField compact="0" numFmtId="182" showAll="0">
      <items count="52">
        <item x="11"/>
        <item x="24"/>
        <item x="50"/>
        <item x="17"/>
        <item x="1"/>
        <item x="47"/>
        <item x="31"/>
        <item x="29"/>
        <item x="49"/>
        <item x="38"/>
        <item x="27"/>
        <item x="37"/>
        <item x="5"/>
        <item x="10"/>
        <item x="45"/>
        <item x="3"/>
        <item x="21"/>
        <item x="32"/>
        <item x="26"/>
        <item x="28"/>
        <item x="12"/>
        <item x="16"/>
        <item x="2"/>
        <item x="44"/>
        <item x="40"/>
        <item x="9"/>
        <item x="33"/>
        <item x="8"/>
        <item x="39"/>
        <item x="34"/>
        <item x="42"/>
        <item x="18"/>
        <item x="4"/>
        <item x="35"/>
        <item x="7"/>
        <item x="36"/>
        <item x="30"/>
        <item x="14"/>
        <item x="6"/>
        <item x="15"/>
        <item x="22"/>
        <item x="43"/>
        <item x="20"/>
        <item x="13"/>
        <item x="48"/>
        <item x="25"/>
        <item x="46"/>
        <item x="41"/>
        <item x="23"/>
        <item x="19"/>
        <item x="0"/>
        <item t="default"/>
      </items>
    </pivotField>
    <pivotField compact="0" showAll="0">
      <items count="3">
        <item x="0"/>
        <item x="1"/>
        <item t="default"/>
      </items>
    </pivotField>
  </pivot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6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C3:C4" firstHeaderRow="1" firstDataRow="1" firstDataCol="0"/>
  <pivotFields count="11">
    <pivotField dataField="1" compact="0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compact="0" showAll="0">
      <items count="301">
        <item x="72"/>
        <item x="33"/>
        <item x="240"/>
        <item x="132"/>
        <item x="95"/>
        <item x="183"/>
        <item x="163"/>
        <item x="119"/>
        <item x="246"/>
        <item x="52"/>
        <item x="265"/>
        <item x="271"/>
        <item x="23"/>
        <item x="12"/>
        <item x="162"/>
        <item x="233"/>
        <item x="71"/>
        <item x="112"/>
        <item x="53"/>
        <item x="105"/>
        <item x="21"/>
        <item x="84"/>
        <item x="159"/>
        <item x="125"/>
        <item x="193"/>
        <item x="144"/>
        <item x="111"/>
        <item x="122"/>
        <item x="30"/>
        <item x="298"/>
        <item x="66"/>
        <item x="78"/>
        <item x="130"/>
        <item x="262"/>
        <item x="59"/>
        <item x="211"/>
        <item x="36"/>
        <item x="219"/>
        <item x="82"/>
        <item x="220"/>
        <item x="134"/>
        <item x="283"/>
        <item x="224"/>
        <item x="31"/>
        <item x="108"/>
        <item x="51"/>
        <item x="168"/>
        <item x="184"/>
        <item x="172"/>
        <item x="229"/>
        <item x="213"/>
        <item x="268"/>
        <item x="234"/>
        <item x="102"/>
        <item x="238"/>
        <item x="14"/>
        <item x="226"/>
        <item x="118"/>
        <item x="270"/>
        <item x="133"/>
        <item x="138"/>
        <item x="3"/>
        <item x="290"/>
        <item x="94"/>
        <item x="76"/>
        <item x="107"/>
        <item x="147"/>
        <item x="38"/>
        <item x="281"/>
        <item x="113"/>
        <item x="264"/>
        <item x="255"/>
        <item x="10"/>
        <item x="140"/>
        <item x="236"/>
        <item x="29"/>
        <item x="198"/>
        <item x="151"/>
        <item x="146"/>
        <item x="223"/>
        <item x="215"/>
        <item x="32"/>
        <item x="2"/>
        <item x="197"/>
        <item x="25"/>
        <item x="263"/>
        <item x="249"/>
        <item x="243"/>
        <item x="275"/>
        <item x="17"/>
        <item x="11"/>
        <item x="100"/>
        <item x="228"/>
        <item x="87"/>
        <item x="164"/>
        <item x="60"/>
        <item x="296"/>
        <item x="48"/>
        <item x="37"/>
        <item x="187"/>
        <item x="5"/>
        <item x="92"/>
        <item x="167"/>
        <item x="149"/>
        <item x="135"/>
        <item x="80"/>
        <item x="58"/>
        <item x="267"/>
        <item x="57"/>
        <item x="274"/>
        <item x="110"/>
        <item x="174"/>
        <item x="217"/>
        <item x="177"/>
        <item x="227"/>
        <item x="291"/>
        <item x="203"/>
        <item x="68"/>
        <item x="55"/>
        <item x="77"/>
        <item x="292"/>
        <item x="259"/>
        <item x="277"/>
        <item x="221"/>
        <item x="180"/>
        <item x="293"/>
        <item x="247"/>
        <item x="191"/>
        <item x="96"/>
        <item x="22"/>
        <item x="166"/>
        <item x="156"/>
        <item x="137"/>
        <item x="261"/>
        <item x="207"/>
        <item x="210"/>
        <item x="136"/>
        <item x="120"/>
        <item x="280"/>
        <item x="73"/>
        <item x="24"/>
        <item x="278"/>
        <item x="195"/>
        <item x="152"/>
        <item x="208"/>
        <item x="49"/>
        <item x="47"/>
        <item x="27"/>
        <item x="258"/>
        <item x="90"/>
        <item x="85"/>
        <item x="222"/>
        <item x="204"/>
        <item x="64"/>
        <item x="19"/>
        <item x="128"/>
        <item x="235"/>
        <item x="185"/>
        <item x="9"/>
        <item x="181"/>
        <item x="93"/>
        <item x="266"/>
        <item x="209"/>
        <item x="13"/>
        <item x="116"/>
        <item x="239"/>
        <item x="216"/>
        <item x="8"/>
        <item x="91"/>
        <item x="202"/>
        <item x="16"/>
        <item x="81"/>
        <item x="257"/>
        <item x="201"/>
        <item x="295"/>
        <item x="175"/>
        <item x="40"/>
        <item x="4"/>
        <item x="98"/>
        <item x="189"/>
        <item x="182"/>
        <item x="279"/>
        <item x="65"/>
        <item x="63"/>
        <item x="124"/>
        <item x="288"/>
        <item x="254"/>
        <item x="145"/>
        <item x="169"/>
        <item x="241"/>
        <item x="50"/>
        <item x="206"/>
        <item x="157"/>
        <item x="253"/>
        <item x="129"/>
        <item x="194"/>
        <item x="205"/>
        <item x="287"/>
        <item x="252"/>
        <item x="44"/>
        <item x="212"/>
        <item x="75"/>
        <item x="39"/>
        <item x="250"/>
        <item x="176"/>
        <item x="178"/>
        <item x="192"/>
        <item x="86"/>
        <item x="104"/>
        <item x="188"/>
        <item x="41"/>
        <item x="127"/>
        <item x="45"/>
        <item x="286"/>
        <item x="150"/>
        <item x="131"/>
        <item x="245"/>
        <item x="173"/>
        <item x="196"/>
        <item x="126"/>
        <item x="190"/>
        <item x="237"/>
        <item x="43"/>
        <item x="294"/>
        <item x="28"/>
        <item x="186"/>
        <item x="34"/>
        <item x="35"/>
        <item x="54"/>
        <item x="143"/>
        <item x="42"/>
        <item x="7"/>
        <item x="284"/>
        <item x="160"/>
        <item x="142"/>
        <item x="69"/>
        <item x="46"/>
        <item x="74"/>
        <item x="230"/>
        <item x="256"/>
        <item x="89"/>
        <item x="18"/>
        <item x="297"/>
        <item x="67"/>
        <item x="117"/>
        <item x="242"/>
        <item x="154"/>
        <item x="61"/>
        <item x="62"/>
        <item x="251"/>
        <item x="225"/>
        <item x="276"/>
        <item x="15"/>
        <item x="101"/>
        <item x="99"/>
        <item x="26"/>
        <item x="214"/>
        <item x="170"/>
        <item x="6"/>
        <item x="83"/>
        <item x="70"/>
        <item x="97"/>
        <item x="289"/>
        <item x="171"/>
        <item x="272"/>
        <item x="299"/>
        <item x="200"/>
        <item x="123"/>
        <item x="232"/>
        <item x="269"/>
        <item x="114"/>
        <item x="79"/>
        <item x="165"/>
        <item x="244"/>
        <item x="109"/>
        <item x="161"/>
        <item x="155"/>
        <item x="158"/>
        <item x="248"/>
        <item x="153"/>
        <item x="115"/>
        <item x="199"/>
        <item x="103"/>
        <item x="1"/>
        <item x="88"/>
        <item x="260"/>
        <item x="179"/>
        <item x="139"/>
        <item x="106"/>
        <item x="231"/>
        <item x="282"/>
        <item x="273"/>
        <item x="121"/>
        <item x="285"/>
        <item x="20"/>
        <item x="141"/>
        <item x="56"/>
        <item x="218"/>
        <item x="148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9">
        <item x="3"/>
        <item x="6"/>
        <item x="1"/>
        <item x="2"/>
        <item x="5"/>
        <item x="7"/>
        <item x="4"/>
        <item x="0"/>
        <item t="default"/>
      </items>
    </pivotField>
    <pivotField compact="0" showAll="0">
      <items count="6">
        <item x="4"/>
        <item x="0"/>
        <item x="2"/>
        <item x="1"/>
        <item x="3"/>
        <item t="default"/>
      </items>
    </pivotField>
    <pivotField compact="0" numFmtId="185" showAll="0">
      <items count="478">
        <item x="433"/>
        <item x="58"/>
        <item x="2"/>
        <item x="343"/>
        <item x="354"/>
        <item x="472"/>
        <item x="161"/>
        <item x="233"/>
        <item x="437"/>
        <item x="71"/>
        <item x="138"/>
        <item x="98"/>
        <item x="205"/>
        <item x="404"/>
        <item x="456"/>
        <item x="45"/>
        <item x="350"/>
        <item x="193"/>
        <item x="445"/>
        <item x="450"/>
        <item x="11"/>
        <item x="188"/>
        <item x="89"/>
        <item x="213"/>
        <item x="285"/>
        <item x="384"/>
        <item x="422"/>
        <item x="414"/>
        <item x="258"/>
        <item x="20"/>
        <item x="169"/>
        <item x="17"/>
        <item x="260"/>
        <item x="68"/>
        <item x="156"/>
        <item x="307"/>
        <item x="311"/>
        <item x="362"/>
        <item x="82"/>
        <item x="23"/>
        <item x="133"/>
        <item x="425"/>
        <item x="34"/>
        <item x="373"/>
        <item x="470"/>
        <item x="182"/>
        <item x="369"/>
        <item x="245"/>
        <item x="393"/>
        <item x="230"/>
        <item x="313"/>
        <item x="130"/>
        <item x="145"/>
        <item x="331"/>
        <item x="261"/>
        <item x="160"/>
        <item x="475"/>
        <item x="256"/>
        <item x="225"/>
        <item x="270"/>
        <item x="159"/>
        <item x="176"/>
        <item x="63"/>
        <item x="386"/>
        <item x="365"/>
        <item x="154"/>
        <item x="468"/>
        <item x="41"/>
        <item x="452"/>
        <item x="187"/>
        <item x="429"/>
        <item x="166"/>
        <item x="216"/>
        <item x="37"/>
        <item x="35"/>
        <item x="105"/>
        <item x="314"/>
        <item x="6"/>
        <item x="7"/>
        <item x="67"/>
        <item x="453"/>
        <item x="178"/>
        <item x="405"/>
        <item x="324"/>
        <item x="395"/>
        <item x="207"/>
        <item x="372"/>
        <item x="388"/>
        <item x="444"/>
        <item x="303"/>
        <item x="153"/>
        <item x="88"/>
        <item x="474"/>
        <item x="294"/>
        <item x="103"/>
        <item x="272"/>
        <item x="396"/>
        <item x="84"/>
        <item x="246"/>
        <item x="226"/>
        <item x="375"/>
        <item x="378"/>
        <item x="181"/>
        <item x="467"/>
        <item x="209"/>
        <item x="385"/>
        <item x="352"/>
        <item x="316"/>
        <item x="239"/>
        <item x="139"/>
        <item x="344"/>
        <item x="419"/>
        <item x="380"/>
        <item x="454"/>
        <item x="46"/>
        <item x="394"/>
        <item x="340"/>
        <item x="8"/>
        <item x="131"/>
        <item x="382"/>
        <item x="264"/>
        <item x="284"/>
        <item x="298"/>
        <item x="172"/>
        <item x="221"/>
        <item x="283"/>
        <item x="305"/>
        <item x="196"/>
        <item x="357"/>
        <item x="406"/>
        <item x="249"/>
        <item x="250"/>
        <item x="356"/>
        <item x="38"/>
        <item x="48"/>
        <item x="446"/>
        <item x="297"/>
        <item x="355"/>
        <item x="418"/>
        <item x="368"/>
        <item x="140"/>
        <item x="152"/>
        <item x="287"/>
        <item x="109"/>
        <item x="336"/>
        <item x="55"/>
        <item x="174"/>
        <item x="346"/>
        <item x="5"/>
        <item x="208"/>
        <item x="247"/>
        <item x="121"/>
        <item x="33"/>
        <item x="53"/>
        <item x="86"/>
        <item x="168"/>
        <item x="339"/>
        <item x="389"/>
        <item x="56"/>
        <item x="413"/>
        <item x="275"/>
        <item x="102"/>
        <item x="115"/>
        <item x="220"/>
        <item x="464"/>
        <item x="421"/>
        <item x="52"/>
        <item x="391"/>
        <item x="44"/>
        <item x="110"/>
        <item x="39"/>
        <item x="392"/>
        <item x="79"/>
        <item x="164"/>
        <item x="80"/>
        <item x="459"/>
        <item x="3"/>
        <item x="212"/>
        <item x="214"/>
        <item x="175"/>
        <item x="165"/>
        <item x="377"/>
        <item x="42"/>
        <item x="141"/>
        <item x="136"/>
        <item x="127"/>
        <item x="203"/>
        <item x="325"/>
        <item x="180"/>
        <item x="197"/>
        <item x="271"/>
        <item x="204"/>
        <item x="118"/>
        <item x="235"/>
        <item x="449"/>
        <item x="12"/>
        <item x="447"/>
        <item x="293"/>
        <item x="28"/>
        <item x="347"/>
        <item x="317"/>
        <item x="397"/>
        <item x="299"/>
        <item x="123"/>
        <item x="274"/>
        <item x="31"/>
        <item x="211"/>
        <item x="281"/>
        <item x="184"/>
        <item x="351"/>
        <item x="190"/>
        <item x="162"/>
        <item x="142"/>
        <item x="25"/>
        <item x="326"/>
        <item x="75"/>
        <item x="91"/>
        <item x="76"/>
        <item x="434"/>
        <item x="201"/>
        <item x="183"/>
        <item x="327"/>
        <item x="219"/>
        <item x="157"/>
        <item x="117"/>
        <item x="200"/>
        <item x="179"/>
        <item x="171"/>
        <item x="321"/>
        <item x="430"/>
        <item x="353"/>
        <item x="155"/>
        <item x="457"/>
        <item x="106"/>
        <item x="59"/>
        <item x="72"/>
        <item x="114"/>
        <item x="93"/>
        <item x="399"/>
        <item x="18"/>
        <item x="312"/>
        <item x="252"/>
        <item x="194"/>
        <item x="144"/>
        <item x="128"/>
        <item x="62"/>
        <item x="27"/>
        <item x="320"/>
        <item x="81"/>
        <item x="292"/>
        <item x="97"/>
        <item x="218"/>
        <item x="455"/>
        <item x="223"/>
        <item x="310"/>
        <item x="463"/>
        <item x="228"/>
        <item x="189"/>
        <item x="267"/>
        <item x="113"/>
        <item x="403"/>
        <item x="50"/>
        <item x="10"/>
        <item x="22"/>
        <item x="70"/>
        <item x="265"/>
        <item x="64"/>
        <item x="66"/>
        <item x="441"/>
        <item x="104"/>
        <item x="26"/>
        <item x="4"/>
        <item x="191"/>
        <item x="170"/>
        <item x="60"/>
        <item x="40"/>
        <item x="323"/>
        <item x="286"/>
        <item x="349"/>
        <item x="73"/>
        <item x="29"/>
        <item x="366"/>
        <item x="334"/>
        <item x="408"/>
        <item x="224"/>
        <item x="276"/>
        <item x="427"/>
        <item x="387"/>
        <item x="288"/>
        <item x="85"/>
        <item x="158"/>
        <item x="348"/>
        <item x="329"/>
        <item x="295"/>
        <item x="177"/>
        <item x="16"/>
        <item x="398"/>
        <item x="1"/>
        <item x="390"/>
        <item x="146"/>
        <item x="439"/>
        <item x="90"/>
        <item x="54"/>
        <item x="410"/>
        <item x="15"/>
        <item x="291"/>
        <item x="240"/>
        <item x="77"/>
        <item x="119"/>
        <item x="51"/>
        <item x="215"/>
        <item x="92"/>
        <item x="337"/>
        <item x="374"/>
        <item x="116"/>
        <item x="100"/>
        <item x="424"/>
        <item x="315"/>
        <item x="217"/>
        <item x="259"/>
        <item x="473"/>
        <item x="436"/>
        <item x="243"/>
        <item x="242"/>
        <item x="24"/>
        <item x="277"/>
        <item x="9"/>
        <item x="151"/>
        <item x="32"/>
        <item x="120"/>
        <item x="282"/>
        <item x="129"/>
        <item x="173"/>
        <item x="47"/>
        <item x="255"/>
        <item x="167"/>
        <item x="469"/>
        <item x="411"/>
        <item x="94"/>
        <item x="290"/>
        <item x="198"/>
        <item x="319"/>
        <item x="101"/>
        <item x="186"/>
        <item x="134"/>
        <item x="451"/>
        <item x="438"/>
        <item x="206"/>
        <item x="318"/>
        <item x="280"/>
        <item x="19"/>
        <item x="359"/>
        <item x="241"/>
        <item x="262"/>
        <item x="125"/>
        <item x="263"/>
        <item x="448"/>
        <item x="435"/>
        <item x="432"/>
        <item x="126"/>
        <item x="278"/>
        <item x="0"/>
        <item x="423"/>
        <item x="364"/>
        <item x="257"/>
        <item x="83"/>
        <item x="309"/>
        <item x="192"/>
        <item x="13"/>
        <item x="308"/>
        <item x="253"/>
        <item x="99"/>
        <item x="458"/>
        <item x="333"/>
        <item x="476"/>
        <item x="111"/>
        <item x="431"/>
        <item x="379"/>
        <item x="471"/>
        <item x="440"/>
        <item x="112"/>
        <item x="237"/>
        <item x="335"/>
        <item x="202"/>
        <item x="210"/>
        <item x="238"/>
        <item x="149"/>
        <item x="302"/>
        <item x="36"/>
        <item x="279"/>
        <item x="304"/>
        <item x="199"/>
        <item x="415"/>
        <item x="132"/>
        <item x="96"/>
        <item x="412"/>
        <item x="360"/>
        <item x="248"/>
        <item x="147"/>
        <item x="74"/>
        <item x="417"/>
        <item x="371"/>
        <item x="401"/>
        <item x="185"/>
        <item x="232"/>
        <item x="466"/>
        <item x="332"/>
        <item x="163"/>
        <item x="234"/>
        <item x="269"/>
        <item x="289"/>
        <item x="78"/>
        <item x="370"/>
        <item x="30"/>
        <item x="122"/>
        <item x="407"/>
        <item x="341"/>
        <item x="328"/>
        <item x="61"/>
        <item x="358"/>
        <item x="43"/>
        <item x="222"/>
        <item x="87"/>
        <item x="409"/>
        <item x="108"/>
        <item x="69"/>
        <item x="342"/>
        <item x="400"/>
        <item x="195"/>
        <item x="57"/>
        <item x="251"/>
        <item x="229"/>
        <item x="460"/>
        <item x="49"/>
        <item x="330"/>
        <item x="124"/>
        <item x="443"/>
        <item x="296"/>
        <item x="21"/>
        <item x="442"/>
        <item x="95"/>
        <item x="268"/>
        <item x="266"/>
        <item x="254"/>
        <item x="306"/>
        <item x="376"/>
        <item x="462"/>
        <item x="461"/>
        <item x="244"/>
        <item x="135"/>
        <item x="150"/>
        <item x="236"/>
        <item x="65"/>
        <item x="428"/>
        <item x="143"/>
        <item x="426"/>
        <item x="383"/>
        <item x="137"/>
        <item x="148"/>
        <item x="14"/>
        <item x="361"/>
        <item x="273"/>
        <item x="338"/>
        <item x="416"/>
        <item x="345"/>
        <item x="465"/>
        <item x="322"/>
        <item x="367"/>
        <item x="301"/>
        <item x="420"/>
        <item x="402"/>
        <item x="363"/>
        <item x="231"/>
        <item x="381"/>
        <item x="300"/>
        <item x="227"/>
        <item x="107"/>
        <item t="default"/>
      </items>
    </pivotField>
    <pivotField compact="0" showAll="0">
      <items count="12">
        <item x="2"/>
        <item x="4"/>
        <item x="5"/>
        <item x="3"/>
        <item x="7"/>
        <item x="9"/>
        <item x="1"/>
        <item x="6"/>
        <item x="0"/>
        <item x="10"/>
        <item x="8"/>
        <item t="default"/>
      </items>
    </pivotField>
    <pivotField compact="0" showAll="0">
      <items count="111">
        <item x="66"/>
        <item x="103"/>
        <item x="100"/>
        <item x="12"/>
        <item x="46"/>
        <item x="95"/>
        <item x="104"/>
        <item x="96"/>
        <item x="18"/>
        <item x="38"/>
        <item x="43"/>
        <item x="48"/>
        <item x="55"/>
        <item x="35"/>
        <item x="24"/>
        <item x="84"/>
        <item x="50"/>
        <item x="60"/>
        <item x="29"/>
        <item x="92"/>
        <item x="90"/>
        <item x="68"/>
        <item x="108"/>
        <item x="67"/>
        <item x="62"/>
        <item x="11"/>
        <item x="52"/>
        <item x="74"/>
        <item x="98"/>
        <item x="73"/>
        <item x="16"/>
        <item x="79"/>
        <item x="59"/>
        <item x="37"/>
        <item x="76"/>
        <item x="71"/>
        <item x="8"/>
        <item x="97"/>
        <item x="63"/>
        <item x="58"/>
        <item x="39"/>
        <item x="13"/>
        <item x="1"/>
        <item x="54"/>
        <item x="93"/>
        <item x="23"/>
        <item x="101"/>
        <item x="32"/>
        <item x="4"/>
        <item x="9"/>
        <item x="69"/>
        <item x="99"/>
        <item x="88"/>
        <item x="105"/>
        <item x="61"/>
        <item x="21"/>
        <item x="15"/>
        <item x="44"/>
        <item x="65"/>
        <item x="82"/>
        <item x="70"/>
        <item x="51"/>
        <item x="20"/>
        <item x="83"/>
        <item x="25"/>
        <item x="72"/>
        <item x="22"/>
        <item x="0"/>
        <item x="75"/>
        <item x="34"/>
        <item x="85"/>
        <item x="3"/>
        <item x="31"/>
        <item x="40"/>
        <item x="64"/>
        <item x="42"/>
        <item x="26"/>
        <item x="5"/>
        <item x="41"/>
        <item x="102"/>
        <item x="30"/>
        <item x="89"/>
        <item x="86"/>
        <item x="78"/>
        <item x="7"/>
        <item x="80"/>
        <item x="106"/>
        <item x="87"/>
        <item x="53"/>
        <item x="56"/>
        <item x="91"/>
        <item x="6"/>
        <item x="28"/>
        <item x="33"/>
        <item x="45"/>
        <item x="81"/>
        <item x="77"/>
        <item x="94"/>
        <item x="27"/>
        <item x="19"/>
        <item x="47"/>
        <item x="14"/>
        <item x="17"/>
        <item x="57"/>
        <item x="10"/>
        <item x="36"/>
        <item x="109"/>
        <item x="49"/>
        <item x="107"/>
        <item x="2"/>
        <item t="default"/>
      </items>
    </pivotField>
    <pivotField compact="0" numFmtId="184" showAll="0">
      <items count="100">
        <item x="87"/>
        <item x="97"/>
        <item x="86"/>
        <item x="81"/>
        <item x="38"/>
        <item x="58"/>
        <item x="44"/>
        <item x="18"/>
        <item x="55"/>
        <item x="75"/>
        <item x="14"/>
        <item x="34"/>
        <item x="29"/>
        <item x="19"/>
        <item x="47"/>
        <item x="4"/>
        <item x="60"/>
        <item x="13"/>
        <item x="1"/>
        <item x="10"/>
        <item x="32"/>
        <item x="51"/>
        <item x="22"/>
        <item x="88"/>
        <item x="62"/>
        <item x="2"/>
        <item x="73"/>
        <item x="74"/>
        <item x="90"/>
        <item x="71"/>
        <item x="26"/>
        <item x="30"/>
        <item x="64"/>
        <item x="23"/>
        <item x="8"/>
        <item x="35"/>
        <item x="52"/>
        <item x="68"/>
        <item x="15"/>
        <item x="65"/>
        <item x="93"/>
        <item x="45"/>
        <item x="16"/>
        <item x="3"/>
        <item x="21"/>
        <item x="20"/>
        <item x="83"/>
        <item x="63"/>
        <item x="9"/>
        <item x="12"/>
        <item x="48"/>
        <item x="66"/>
        <item x="24"/>
        <item x="17"/>
        <item x="91"/>
        <item x="7"/>
        <item x="41"/>
        <item x="5"/>
        <item x="50"/>
        <item x="49"/>
        <item x="77"/>
        <item x="84"/>
        <item x="43"/>
        <item x="37"/>
        <item x="78"/>
        <item x="59"/>
        <item x="79"/>
        <item x="36"/>
        <item x="28"/>
        <item x="11"/>
        <item x="46"/>
        <item x="69"/>
        <item x="25"/>
        <item x="31"/>
        <item x="6"/>
        <item x="57"/>
        <item x="67"/>
        <item x="39"/>
        <item x="33"/>
        <item x="70"/>
        <item x="95"/>
        <item x="80"/>
        <item x="85"/>
        <item x="53"/>
        <item x="56"/>
        <item x="92"/>
        <item x="89"/>
        <item x="27"/>
        <item x="61"/>
        <item x="76"/>
        <item x="96"/>
        <item x="54"/>
        <item x="98"/>
        <item x="82"/>
        <item x="42"/>
        <item x="94"/>
        <item x="0"/>
        <item x="40"/>
        <item x="72"/>
        <item t="default"/>
      </items>
    </pivotField>
    <pivotField compact="0" numFmtId="182" showAll="0">
      <items count="52">
        <item x="11"/>
        <item x="24"/>
        <item x="50"/>
        <item x="17"/>
        <item x="1"/>
        <item x="47"/>
        <item x="31"/>
        <item x="29"/>
        <item x="49"/>
        <item x="38"/>
        <item x="27"/>
        <item x="37"/>
        <item x="5"/>
        <item x="10"/>
        <item x="45"/>
        <item x="3"/>
        <item x="21"/>
        <item x="32"/>
        <item x="26"/>
        <item x="28"/>
        <item x="12"/>
        <item x="16"/>
        <item x="2"/>
        <item x="44"/>
        <item x="40"/>
        <item x="9"/>
        <item x="33"/>
        <item x="8"/>
        <item x="39"/>
        <item x="34"/>
        <item x="42"/>
        <item x="18"/>
        <item x="4"/>
        <item x="35"/>
        <item x="7"/>
        <item x="36"/>
        <item x="30"/>
        <item x="14"/>
        <item x="6"/>
        <item x="15"/>
        <item x="22"/>
        <item x="43"/>
        <item x="20"/>
        <item x="13"/>
        <item x="48"/>
        <item x="25"/>
        <item x="46"/>
        <item x="41"/>
        <item x="23"/>
        <item x="19"/>
        <item x="0"/>
        <item t="default"/>
      </items>
    </pivotField>
    <pivotField compact="0" showAll="0">
      <items count="3">
        <item x="0"/>
        <item x="1"/>
        <item t="default"/>
      </items>
    </pivotField>
  </pivotFields>
  <dataFields count="1">
    <dataField name="Total employees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7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F10:G16" firstHeaderRow="1" firstDataRow="1" firstDataCol="1"/>
  <pivotFields count="11">
    <pivotField compact="0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dataField="1" compact="0" showAll="0">
      <items count="301">
        <item x="72"/>
        <item x="33"/>
        <item x="240"/>
        <item x="132"/>
        <item x="95"/>
        <item x="183"/>
        <item x="163"/>
        <item x="119"/>
        <item x="246"/>
        <item x="52"/>
        <item x="265"/>
        <item x="271"/>
        <item x="23"/>
        <item x="12"/>
        <item x="162"/>
        <item x="233"/>
        <item x="71"/>
        <item x="112"/>
        <item x="53"/>
        <item x="105"/>
        <item x="21"/>
        <item x="84"/>
        <item x="159"/>
        <item x="125"/>
        <item x="193"/>
        <item x="144"/>
        <item x="111"/>
        <item x="122"/>
        <item x="30"/>
        <item x="298"/>
        <item x="66"/>
        <item x="78"/>
        <item x="130"/>
        <item x="262"/>
        <item x="59"/>
        <item x="211"/>
        <item x="36"/>
        <item x="219"/>
        <item x="82"/>
        <item x="220"/>
        <item x="134"/>
        <item x="283"/>
        <item x="224"/>
        <item x="31"/>
        <item x="108"/>
        <item x="51"/>
        <item x="168"/>
        <item x="184"/>
        <item x="172"/>
        <item x="229"/>
        <item x="213"/>
        <item x="268"/>
        <item x="234"/>
        <item x="102"/>
        <item x="238"/>
        <item x="14"/>
        <item x="226"/>
        <item x="118"/>
        <item x="270"/>
        <item x="133"/>
        <item x="138"/>
        <item x="3"/>
        <item x="290"/>
        <item x="94"/>
        <item x="76"/>
        <item x="107"/>
        <item x="147"/>
        <item x="38"/>
        <item x="281"/>
        <item x="113"/>
        <item x="264"/>
        <item x="255"/>
        <item x="10"/>
        <item x="140"/>
        <item x="236"/>
        <item x="29"/>
        <item x="198"/>
        <item x="151"/>
        <item x="146"/>
        <item x="223"/>
        <item x="215"/>
        <item x="32"/>
        <item x="2"/>
        <item x="197"/>
        <item x="25"/>
        <item x="263"/>
        <item x="249"/>
        <item x="243"/>
        <item x="275"/>
        <item x="17"/>
        <item x="11"/>
        <item x="100"/>
        <item x="228"/>
        <item x="87"/>
        <item x="164"/>
        <item x="60"/>
        <item x="296"/>
        <item x="48"/>
        <item x="37"/>
        <item x="187"/>
        <item x="5"/>
        <item x="92"/>
        <item x="167"/>
        <item x="149"/>
        <item x="135"/>
        <item x="80"/>
        <item x="58"/>
        <item x="267"/>
        <item x="57"/>
        <item x="274"/>
        <item x="110"/>
        <item x="174"/>
        <item x="217"/>
        <item x="177"/>
        <item x="227"/>
        <item x="291"/>
        <item x="203"/>
        <item x="68"/>
        <item x="55"/>
        <item x="77"/>
        <item x="292"/>
        <item x="259"/>
        <item x="277"/>
        <item x="221"/>
        <item x="180"/>
        <item x="293"/>
        <item x="247"/>
        <item x="191"/>
        <item x="96"/>
        <item x="22"/>
        <item x="166"/>
        <item x="156"/>
        <item x="137"/>
        <item x="261"/>
        <item x="207"/>
        <item x="210"/>
        <item x="136"/>
        <item x="120"/>
        <item x="280"/>
        <item x="73"/>
        <item x="24"/>
        <item x="278"/>
        <item x="195"/>
        <item x="152"/>
        <item x="208"/>
        <item x="49"/>
        <item x="47"/>
        <item x="27"/>
        <item x="258"/>
        <item x="90"/>
        <item x="85"/>
        <item x="222"/>
        <item x="204"/>
        <item x="64"/>
        <item x="19"/>
        <item x="128"/>
        <item x="235"/>
        <item x="185"/>
        <item x="9"/>
        <item x="181"/>
        <item x="93"/>
        <item x="266"/>
        <item x="209"/>
        <item x="13"/>
        <item x="116"/>
        <item x="239"/>
        <item x="216"/>
        <item x="8"/>
        <item x="91"/>
        <item x="202"/>
        <item x="16"/>
        <item x="81"/>
        <item x="257"/>
        <item x="201"/>
        <item x="295"/>
        <item x="175"/>
        <item x="40"/>
        <item x="4"/>
        <item x="98"/>
        <item x="189"/>
        <item x="182"/>
        <item x="279"/>
        <item x="65"/>
        <item x="63"/>
        <item x="124"/>
        <item x="288"/>
        <item x="254"/>
        <item x="145"/>
        <item x="169"/>
        <item x="241"/>
        <item x="50"/>
        <item x="206"/>
        <item x="157"/>
        <item x="253"/>
        <item x="129"/>
        <item x="194"/>
        <item x="205"/>
        <item x="287"/>
        <item x="252"/>
        <item x="44"/>
        <item x="212"/>
        <item x="75"/>
        <item x="39"/>
        <item x="250"/>
        <item x="176"/>
        <item x="178"/>
        <item x="192"/>
        <item x="86"/>
        <item x="104"/>
        <item x="188"/>
        <item x="41"/>
        <item x="127"/>
        <item x="45"/>
        <item x="286"/>
        <item x="150"/>
        <item x="131"/>
        <item x="245"/>
        <item x="173"/>
        <item x="196"/>
        <item x="126"/>
        <item x="190"/>
        <item x="237"/>
        <item x="43"/>
        <item x="294"/>
        <item x="28"/>
        <item x="186"/>
        <item x="34"/>
        <item x="35"/>
        <item x="54"/>
        <item x="143"/>
        <item x="42"/>
        <item x="7"/>
        <item x="284"/>
        <item x="160"/>
        <item x="142"/>
        <item x="69"/>
        <item x="46"/>
        <item x="74"/>
        <item x="230"/>
        <item x="256"/>
        <item x="89"/>
        <item x="18"/>
        <item x="297"/>
        <item x="67"/>
        <item x="117"/>
        <item x="242"/>
        <item x="154"/>
        <item x="61"/>
        <item x="62"/>
        <item x="251"/>
        <item x="225"/>
        <item x="276"/>
        <item x="15"/>
        <item x="101"/>
        <item x="99"/>
        <item x="26"/>
        <item x="214"/>
        <item x="170"/>
        <item x="6"/>
        <item x="83"/>
        <item x="70"/>
        <item x="97"/>
        <item x="289"/>
        <item x="171"/>
        <item x="272"/>
        <item x="299"/>
        <item x="200"/>
        <item x="123"/>
        <item x="232"/>
        <item x="269"/>
        <item x="114"/>
        <item x="79"/>
        <item x="165"/>
        <item x="244"/>
        <item x="109"/>
        <item x="161"/>
        <item x="155"/>
        <item x="158"/>
        <item x="248"/>
        <item x="153"/>
        <item x="115"/>
        <item x="199"/>
        <item x="103"/>
        <item x="1"/>
        <item x="88"/>
        <item x="260"/>
        <item x="179"/>
        <item x="139"/>
        <item x="106"/>
        <item x="231"/>
        <item x="282"/>
        <item x="273"/>
        <item x="121"/>
        <item x="285"/>
        <item x="20"/>
        <item x="141"/>
        <item x="56"/>
        <item x="218"/>
        <item x="148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9">
        <item x="3"/>
        <item x="6"/>
        <item x="1"/>
        <item x="2"/>
        <item x="5"/>
        <item x="7"/>
        <item x="4"/>
        <item x="0"/>
        <item t="default"/>
      </items>
    </pivotField>
    <pivotField axis="axisRow" compact="0" showAll="0">
      <items count="6">
        <item x="1"/>
        <item x="2"/>
        <item x="0"/>
        <item x="3"/>
        <item x="4"/>
        <item t="default"/>
      </items>
    </pivotField>
    <pivotField compact="0" numFmtId="185" showAll="0">
      <items count="47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t="default"/>
      </items>
    </pivotField>
    <pivotField compact="0" showAll="0">
      <items count="12">
        <item x="2"/>
        <item x="4"/>
        <item x="5"/>
        <item x="3"/>
        <item x="7"/>
        <item x="9"/>
        <item x="1"/>
        <item x="6"/>
        <item x="0"/>
        <item x="10"/>
        <item x="8"/>
        <item t="default"/>
      </items>
    </pivotField>
    <pivotField compact="0" showAll="0">
      <items count="111">
        <item x="74"/>
        <item x="1"/>
        <item x="2"/>
        <item x="3"/>
        <item x="4"/>
        <item x="5"/>
        <item x="6"/>
        <item x="7"/>
        <item x="8"/>
        <item x="9"/>
        <item x="10"/>
        <item x="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compact="0" numFmtId="184" showAll="0">
      <items count="100">
        <item x="34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5"/>
        <item x="36"/>
        <item x="37"/>
        <item x="38"/>
        <item x="39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53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0"/>
        <item x="40"/>
        <item x="72"/>
        <item t="default"/>
      </items>
    </pivotField>
    <pivotField compact="0" numFmtId="182" showAll="0">
      <items count="52">
        <item x="3"/>
        <item x="1"/>
        <item x="2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0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 Employee" fld="1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8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I10:J13" firstHeaderRow="1" firstDataRow="1" firstDataCol="1"/>
  <pivotFields count="11">
    <pivotField compact="0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dataField="1" compact="0" showAll="0">
      <items count="301">
        <item x="72"/>
        <item x="33"/>
        <item x="240"/>
        <item x="132"/>
        <item x="95"/>
        <item x="183"/>
        <item x="163"/>
        <item x="119"/>
        <item x="246"/>
        <item x="52"/>
        <item x="265"/>
        <item x="271"/>
        <item x="23"/>
        <item x="12"/>
        <item x="162"/>
        <item x="233"/>
        <item x="71"/>
        <item x="112"/>
        <item x="53"/>
        <item x="105"/>
        <item x="21"/>
        <item x="84"/>
        <item x="159"/>
        <item x="125"/>
        <item x="193"/>
        <item x="144"/>
        <item x="111"/>
        <item x="122"/>
        <item x="30"/>
        <item x="298"/>
        <item x="66"/>
        <item x="78"/>
        <item x="130"/>
        <item x="262"/>
        <item x="59"/>
        <item x="211"/>
        <item x="36"/>
        <item x="219"/>
        <item x="82"/>
        <item x="220"/>
        <item x="134"/>
        <item x="283"/>
        <item x="224"/>
        <item x="31"/>
        <item x="108"/>
        <item x="51"/>
        <item x="168"/>
        <item x="184"/>
        <item x="172"/>
        <item x="229"/>
        <item x="213"/>
        <item x="268"/>
        <item x="234"/>
        <item x="102"/>
        <item x="238"/>
        <item x="14"/>
        <item x="226"/>
        <item x="118"/>
        <item x="270"/>
        <item x="133"/>
        <item x="138"/>
        <item x="3"/>
        <item x="290"/>
        <item x="94"/>
        <item x="76"/>
        <item x="107"/>
        <item x="147"/>
        <item x="38"/>
        <item x="281"/>
        <item x="113"/>
        <item x="264"/>
        <item x="255"/>
        <item x="10"/>
        <item x="140"/>
        <item x="236"/>
        <item x="29"/>
        <item x="198"/>
        <item x="151"/>
        <item x="146"/>
        <item x="223"/>
        <item x="215"/>
        <item x="32"/>
        <item x="2"/>
        <item x="197"/>
        <item x="25"/>
        <item x="263"/>
        <item x="249"/>
        <item x="243"/>
        <item x="275"/>
        <item x="17"/>
        <item x="11"/>
        <item x="100"/>
        <item x="228"/>
        <item x="87"/>
        <item x="164"/>
        <item x="60"/>
        <item x="296"/>
        <item x="48"/>
        <item x="37"/>
        <item x="187"/>
        <item x="5"/>
        <item x="92"/>
        <item x="167"/>
        <item x="149"/>
        <item x="135"/>
        <item x="80"/>
        <item x="58"/>
        <item x="267"/>
        <item x="57"/>
        <item x="274"/>
        <item x="110"/>
        <item x="174"/>
        <item x="217"/>
        <item x="177"/>
        <item x="227"/>
        <item x="291"/>
        <item x="203"/>
        <item x="68"/>
        <item x="55"/>
        <item x="77"/>
        <item x="292"/>
        <item x="259"/>
        <item x="277"/>
        <item x="221"/>
        <item x="180"/>
        <item x="293"/>
        <item x="247"/>
        <item x="191"/>
        <item x="96"/>
        <item x="22"/>
        <item x="166"/>
        <item x="156"/>
        <item x="137"/>
        <item x="261"/>
        <item x="207"/>
        <item x="210"/>
        <item x="136"/>
        <item x="120"/>
        <item x="280"/>
        <item x="73"/>
        <item x="24"/>
        <item x="278"/>
        <item x="195"/>
        <item x="152"/>
        <item x="208"/>
        <item x="49"/>
        <item x="47"/>
        <item x="27"/>
        <item x="258"/>
        <item x="90"/>
        <item x="85"/>
        <item x="222"/>
        <item x="204"/>
        <item x="64"/>
        <item x="19"/>
        <item x="128"/>
        <item x="235"/>
        <item x="185"/>
        <item x="9"/>
        <item x="181"/>
        <item x="93"/>
        <item x="266"/>
        <item x="209"/>
        <item x="13"/>
        <item x="116"/>
        <item x="239"/>
        <item x="216"/>
        <item x="8"/>
        <item x="91"/>
        <item x="202"/>
        <item x="16"/>
        <item x="81"/>
        <item x="257"/>
        <item x="201"/>
        <item x="295"/>
        <item x="175"/>
        <item x="40"/>
        <item x="4"/>
        <item x="98"/>
        <item x="189"/>
        <item x="182"/>
        <item x="279"/>
        <item x="65"/>
        <item x="63"/>
        <item x="124"/>
        <item x="288"/>
        <item x="254"/>
        <item x="145"/>
        <item x="169"/>
        <item x="241"/>
        <item x="50"/>
        <item x="206"/>
        <item x="157"/>
        <item x="253"/>
        <item x="129"/>
        <item x="194"/>
        <item x="205"/>
        <item x="287"/>
        <item x="252"/>
        <item x="44"/>
        <item x="212"/>
        <item x="75"/>
        <item x="39"/>
        <item x="250"/>
        <item x="176"/>
        <item x="178"/>
        <item x="192"/>
        <item x="86"/>
        <item x="104"/>
        <item x="188"/>
        <item x="41"/>
        <item x="127"/>
        <item x="45"/>
        <item x="286"/>
        <item x="150"/>
        <item x="131"/>
        <item x="245"/>
        <item x="173"/>
        <item x="196"/>
        <item x="126"/>
        <item x="190"/>
        <item x="237"/>
        <item x="43"/>
        <item x="294"/>
        <item x="28"/>
        <item x="186"/>
        <item x="34"/>
        <item x="35"/>
        <item x="54"/>
        <item x="143"/>
        <item x="42"/>
        <item x="7"/>
        <item x="284"/>
        <item x="160"/>
        <item x="142"/>
        <item x="69"/>
        <item x="46"/>
        <item x="74"/>
        <item x="230"/>
        <item x="256"/>
        <item x="89"/>
        <item x="18"/>
        <item x="297"/>
        <item x="67"/>
        <item x="117"/>
        <item x="242"/>
        <item x="154"/>
        <item x="61"/>
        <item x="62"/>
        <item x="251"/>
        <item x="225"/>
        <item x="276"/>
        <item x="15"/>
        <item x="101"/>
        <item x="99"/>
        <item x="26"/>
        <item x="214"/>
        <item x="170"/>
        <item x="6"/>
        <item x="83"/>
        <item x="70"/>
        <item x="97"/>
        <item x="289"/>
        <item x="171"/>
        <item x="272"/>
        <item x="299"/>
        <item x="200"/>
        <item x="123"/>
        <item x="232"/>
        <item x="269"/>
        <item x="114"/>
        <item x="79"/>
        <item x="165"/>
        <item x="244"/>
        <item x="109"/>
        <item x="161"/>
        <item x="155"/>
        <item x="158"/>
        <item x="248"/>
        <item x="153"/>
        <item x="115"/>
        <item x="199"/>
        <item x="103"/>
        <item x="1"/>
        <item x="88"/>
        <item x="260"/>
        <item x="179"/>
        <item x="139"/>
        <item x="106"/>
        <item x="231"/>
        <item x="282"/>
        <item x="273"/>
        <item x="121"/>
        <item x="285"/>
        <item x="20"/>
        <item x="141"/>
        <item x="56"/>
        <item x="218"/>
        <item x="148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9">
        <item x="3"/>
        <item x="6"/>
        <item x="1"/>
        <item x="2"/>
        <item x="5"/>
        <item x="7"/>
        <item x="4"/>
        <item x="0"/>
        <item t="default"/>
      </items>
    </pivotField>
    <pivotField compact="0" showAll="0">
      <items count="6">
        <item x="1"/>
        <item x="2"/>
        <item x="0"/>
        <item x="3"/>
        <item x="4"/>
        <item t="default"/>
      </items>
    </pivotField>
    <pivotField compact="0" numFmtId="185" showAll="0">
      <items count="47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t="default"/>
      </items>
    </pivotField>
    <pivotField compact="0" showAll="0">
      <items count="12">
        <item x="2"/>
        <item x="4"/>
        <item x="5"/>
        <item x="3"/>
        <item x="7"/>
        <item x="9"/>
        <item x="1"/>
        <item x="6"/>
        <item x="0"/>
        <item x="10"/>
        <item x="8"/>
        <item t="default"/>
      </items>
    </pivotField>
    <pivotField compact="0" showAll="0">
      <items count="111">
        <item x="74"/>
        <item x="1"/>
        <item x="2"/>
        <item x="3"/>
        <item x="4"/>
        <item x="5"/>
        <item x="6"/>
        <item x="7"/>
        <item x="8"/>
        <item x="9"/>
        <item x="10"/>
        <item x="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compact="0" numFmtId="184" showAll="0">
      <items count="100">
        <item x="34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5"/>
        <item x="36"/>
        <item x="37"/>
        <item x="38"/>
        <item x="39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53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0"/>
        <item x="40"/>
        <item x="72"/>
        <item t="default"/>
      </items>
    </pivotField>
    <pivotField compact="0" numFmtId="182" showAll="0">
      <items count="52">
        <item x="3"/>
        <item x="1"/>
        <item x="2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0"/>
        <item t="default"/>
      </items>
    </pivotField>
    <pivotField axis="axisRow" compact="0" showAll="0">
      <items count="3">
        <item x="0"/>
        <item x="1"/>
        <item t="default"/>
      </items>
    </pivotField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total Employee" fld="1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9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C26:D35" firstHeaderRow="1" firstDataRow="1" firstDataCol="1"/>
  <pivotFields count="11">
    <pivotField compact="0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compact="0" showAll="0">
      <items count="301">
        <item x="72"/>
        <item x="33"/>
        <item x="240"/>
        <item x="132"/>
        <item x="95"/>
        <item x="183"/>
        <item x="163"/>
        <item x="119"/>
        <item x="246"/>
        <item x="52"/>
        <item x="265"/>
        <item x="271"/>
        <item x="23"/>
        <item x="12"/>
        <item x="162"/>
        <item x="233"/>
        <item x="71"/>
        <item x="112"/>
        <item x="53"/>
        <item x="105"/>
        <item x="21"/>
        <item x="84"/>
        <item x="159"/>
        <item x="125"/>
        <item x="193"/>
        <item x="144"/>
        <item x="111"/>
        <item x="122"/>
        <item x="30"/>
        <item x="298"/>
        <item x="66"/>
        <item x="78"/>
        <item x="130"/>
        <item x="262"/>
        <item x="59"/>
        <item x="211"/>
        <item x="36"/>
        <item x="219"/>
        <item x="82"/>
        <item x="220"/>
        <item x="134"/>
        <item x="283"/>
        <item x="224"/>
        <item x="31"/>
        <item x="108"/>
        <item x="51"/>
        <item x="168"/>
        <item x="184"/>
        <item x="172"/>
        <item x="229"/>
        <item x="213"/>
        <item x="268"/>
        <item x="234"/>
        <item x="102"/>
        <item x="238"/>
        <item x="14"/>
        <item x="226"/>
        <item x="118"/>
        <item x="270"/>
        <item x="133"/>
        <item x="138"/>
        <item x="3"/>
        <item x="290"/>
        <item x="94"/>
        <item x="76"/>
        <item x="107"/>
        <item x="147"/>
        <item x="38"/>
        <item x="281"/>
        <item x="113"/>
        <item x="264"/>
        <item x="255"/>
        <item x="10"/>
        <item x="140"/>
        <item x="236"/>
        <item x="29"/>
        <item x="198"/>
        <item x="151"/>
        <item x="146"/>
        <item x="223"/>
        <item x="215"/>
        <item x="32"/>
        <item x="2"/>
        <item x="197"/>
        <item x="25"/>
        <item x="263"/>
        <item x="249"/>
        <item x="243"/>
        <item x="275"/>
        <item x="17"/>
        <item x="11"/>
        <item x="100"/>
        <item x="228"/>
        <item x="87"/>
        <item x="164"/>
        <item x="60"/>
        <item x="296"/>
        <item x="48"/>
        <item x="37"/>
        <item x="187"/>
        <item x="5"/>
        <item x="92"/>
        <item x="167"/>
        <item x="149"/>
        <item x="135"/>
        <item x="80"/>
        <item x="58"/>
        <item x="267"/>
        <item x="57"/>
        <item x="274"/>
        <item x="110"/>
        <item x="174"/>
        <item x="217"/>
        <item x="177"/>
        <item x="227"/>
        <item x="291"/>
        <item x="203"/>
        <item x="68"/>
        <item x="55"/>
        <item x="77"/>
        <item x="292"/>
        <item x="259"/>
        <item x="277"/>
        <item x="221"/>
        <item x="180"/>
        <item x="293"/>
        <item x="247"/>
        <item x="191"/>
        <item x="96"/>
        <item x="22"/>
        <item x="166"/>
        <item x="156"/>
        <item x="137"/>
        <item x="261"/>
        <item x="207"/>
        <item x="210"/>
        <item x="136"/>
        <item x="120"/>
        <item x="280"/>
        <item x="73"/>
        <item x="24"/>
        <item x="278"/>
        <item x="195"/>
        <item x="152"/>
        <item x="208"/>
        <item x="49"/>
        <item x="47"/>
        <item x="27"/>
        <item x="258"/>
        <item x="90"/>
        <item x="85"/>
        <item x="222"/>
        <item x="204"/>
        <item x="64"/>
        <item x="19"/>
        <item x="128"/>
        <item x="235"/>
        <item x="185"/>
        <item x="9"/>
        <item x="181"/>
        <item x="93"/>
        <item x="266"/>
        <item x="209"/>
        <item x="13"/>
        <item x="116"/>
        <item x="239"/>
        <item x="216"/>
        <item x="8"/>
        <item x="91"/>
        <item x="202"/>
        <item x="16"/>
        <item x="81"/>
        <item x="257"/>
        <item x="201"/>
        <item x="295"/>
        <item x="175"/>
        <item x="40"/>
        <item x="4"/>
        <item x="98"/>
        <item x="189"/>
        <item x="182"/>
        <item x="279"/>
        <item x="65"/>
        <item x="63"/>
        <item x="124"/>
        <item x="288"/>
        <item x="254"/>
        <item x="145"/>
        <item x="169"/>
        <item x="241"/>
        <item x="50"/>
        <item x="206"/>
        <item x="157"/>
        <item x="253"/>
        <item x="129"/>
        <item x="194"/>
        <item x="205"/>
        <item x="287"/>
        <item x="252"/>
        <item x="44"/>
        <item x="212"/>
        <item x="75"/>
        <item x="39"/>
        <item x="250"/>
        <item x="176"/>
        <item x="178"/>
        <item x="192"/>
        <item x="86"/>
        <item x="104"/>
        <item x="188"/>
        <item x="41"/>
        <item x="127"/>
        <item x="45"/>
        <item x="286"/>
        <item x="150"/>
        <item x="131"/>
        <item x="245"/>
        <item x="173"/>
        <item x="196"/>
        <item x="126"/>
        <item x="190"/>
        <item x="237"/>
        <item x="43"/>
        <item x="294"/>
        <item x="28"/>
        <item x="186"/>
        <item x="34"/>
        <item x="35"/>
        <item x="54"/>
        <item x="143"/>
        <item x="42"/>
        <item x="7"/>
        <item x="284"/>
        <item x="160"/>
        <item x="142"/>
        <item x="69"/>
        <item x="46"/>
        <item x="74"/>
        <item x="230"/>
        <item x="256"/>
        <item x="89"/>
        <item x="18"/>
        <item x="297"/>
        <item x="67"/>
        <item x="117"/>
        <item x="242"/>
        <item x="154"/>
        <item x="61"/>
        <item x="62"/>
        <item x="251"/>
        <item x="225"/>
        <item x="276"/>
        <item x="15"/>
        <item x="101"/>
        <item x="99"/>
        <item x="26"/>
        <item x="214"/>
        <item x="170"/>
        <item x="6"/>
        <item x="83"/>
        <item x="70"/>
        <item x="97"/>
        <item x="289"/>
        <item x="171"/>
        <item x="272"/>
        <item x="299"/>
        <item x="200"/>
        <item x="123"/>
        <item x="232"/>
        <item x="269"/>
        <item x="114"/>
        <item x="79"/>
        <item x="165"/>
        <item x="244"/>
        <item x="109"/>
        <item x="161"/>
        <item x="155"/>
        <item x="158"/>
        <item x="248"/>
        <item x="153"/>
        <item x="115"/>
        <item x="199"/>
        <item x="103"/>
        <item x="1"/>
        <item x="88"/>
        <item x="260"/>
        <item x="179"/>
        <item x="139"/>
        <item x="106"/>
        <item x="231"/>
        <item x="282"/>
        <item x="273"/>
        <item x="121"/>
        <item x="285"/>
        <item x="20"/>
        <item x="141"/>
        <item x="56"/>
        <item x="218"/>
        <item x="148"/>
        <item x="0"/>
        <item t="default"/>
      </items>
    </pivotField>
    <pivotField compact="0" showAll="0">
      <items count="3">
        <item x="0"/>
        <item x="1"/>
        <item t="default"/>
      </items>
    </pivotField>
    <pivotField axis="axisRow" compact="0" sortType="descending" showAll="0">
      <items count="9">
        <item x="4"/>
        <item x="7"/>
        <item x="5"/>
        <item x="2"/>
        <item x="1"/>
        <item x="6"/>
        <item x="3"/>
        <item x="0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6">
        <item x="1"/>
        <item x="2"/>
        <item x="0"/>
        <item x="3"/>
        <item x="4"/>
        <item t="default"/>
      </items>
    </pivotField>
    <pivotField compact="0" numFmtId="185" showAll="0">
      <items count="47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t="default"/>
      </items>
    </pivotField>
    <pivotField compact="0" showAll="0">
      <items count="12">
        <item x="2"/>
        <item x="4"/>
        <item x="5"/>
        <item x="3"/>
        <item x="7"/>
        <item x="9"/>
        <item x="1"/>
        <item x="6"/>
        <item x="0"/>
        <item x="10"/>
        <item x="8"/>
        <item t="default"/>
      </items>
    </pivotField>
    <pivotField compact="0" showAll="0">
      <items count="111">
        <item x="74"/>
        <item x="1"/>
        <item x="2"/>
        <item x="3"/>
        <item x="4"/>
        <item x="5"/>
        <item x="6"/>
        <item x="7"/>
        <item x="8"/>
        <item x="9"/>
        <item x="10"/>
        <item x="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dataField="1" compact="0" numFmtId="184" showAll="0">
      <items count="100">
        <item x="34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5"/>
        <item x="36"/>
        <item x="37"/>
        <item x="38"/>
        <item x="39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53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0"/>
        <item x="40"/>
        <item x="72"/>
        <item t="default"/>
      </items>
    </pivotField>
    <pivotField compact="0" numFmtId="182" showAll="0">
      <items count="52">
        <item x="3"/>
        <item x="1"/>
        <item x="2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0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3"/>
  </rowFields>
  <rowItems count="9">
    <i>
      <x v="7"/>
    </i>
    <i>
      <x v="4"/>
    </i>
    <i>
      <x v="3"/>
    </i>
    <i>
      <x v="6"/>
    </i>
    <i>
      <x v="1"/>
    </i>
    <i>
      <x v="5"/>
    </i>
    <i>
      <x v="2"/>
    </i>
    <i>
      <x/>
    </i>
    <i t="grand">
      <x/>
    </i>
  </rowItems>
  <colItems count="1">
    <i/>
  </colItems>
  <dataFields count="1">
    <dataField name="Average Salary" fld="8" subtotal="average" baseField="0" baseItem="0"/>
  </dataFields>
  <formats count="7">
    <format dxfId="33">
      <pivotArea collapsedLevelsAreSubtotals="1" fieldPosition="0"/>
    </format>
    <format dxfId="34">
      <pivotArea collapsedLevelsAreSubtotals="1" fieldPosition="0"/>
    </format>
    <format dxfId="35">
      <pivotArea collapsedLevelsAreSubtotals="1" fieldPosition="0"/>
    </format>
    <format dxfId="36">
      <pivotArea collapsedLevelsAreSubtotals="1" fieldPosition="0"/>
    </format>
    <format dxfId="37">
      <pivotArea collapsedLevelsAreSubtotals="1" fieldPosition="0"/>
    </format>
    <format dxfId="38">
      <pivotArea collapsedLevelsAreSubtotals="1" fieldPosition="0"/>
    </format>
    <format dxfId="39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0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C43:D154" firstHeaderRow="1" firstDataRow="1" firstDataCol="1"/>
  <pivotFields count="11">
    <pivotField dataField="1" compact="0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compact="0" showAll="0">
      <items count="301">
        <item x="72"/>
        <item x="33"/>
        <item x="240"/>
        <item x="132"/>
        <item x="95"/>
        <item x="183"/>
        <item x="163"/>
        <item x="119"/>
        <item x="246"/>
        <item x="52"/>
        <item x="265"/>
        <item x="271"/>
        <item x="23"/>
        <item x="12"/>
        <item x="162"/>
        <item x="233"/>
        <item x="71"/>
        <item x="112"/>
        <item x="53"/>
        <item x="105"/>
        <item x="21"/>
        <item x="84"/>
        <item x="159"/>
        <item x="125"/>
        <item x="193"/>
        <item x="144"/>
        <item x="111"/>
        <item x="122"/>
        <item x="30"/>
        <item x="298"/>
        <item x="66"/>
        <item x="78"/>
        <item x="130"/>
        <item x="262"/>
        <item x="59"/>
        <item x="211"/>
        <item x="36"/>
        <item x="219"/>
        <item x="82"/>
        <item x="220"/>
        <item x="134"/>
        <item x="283"/>
        <item x="224"/>
        <item x="31"/>
        <item x="108"/>
        <item x="51"/>
        <item x="168"/>
        <item x="184"/>
        <item x="172"/>
        <item x="229"/>
        <item x="213"/>
        <item x="268"/>
        <item x="234"/>
        <item x="102"/>
        <item x="238"/>
        <item x="14"/>
        <item x="226"/>
        <item x="118"/>
        <item x="270"/>
        <item x="133"/>
        <item x="138"/>
        <item x="3"/>
        <item x="290"/>
        <item x="94"/>
        <item x="76"/>
        <item x="107"/>
        <item x="147"/>
        <item x="38"/>
        <item x="281"/>
        <item x="113"/>
        <item x="264"/>
        <item x="255"/>
        <item x="10"/>
        <item x="140"/>
        <item x="236"/>
        <item x="29"/>
        <item x="198"/>
        <item x="151"/>
        <item x="146"/>
        <item x="223"/>
        <item x="215"/>
        <item x="32"/>
        <item x="2"/>
        <item x="197"/>
        <item x="25"/>
        <item x="263"/>
        <item x="249"/>
        <item x="243"/>
        <item x="275"/>
        <item x="17"/>
        <item x="11"/>
        <item x="100"/>
        <item x="228"/>
        <item x="87"/>
        <item x="164"/>
        <item x="60"/>
        <item x="296"/>
        <item x="48"/>
        <item x="37"/>
        <item x="187"/>
        <item x="5"/>
        <item x="92"/>
        <item x="167"/>
        <item x="149"/>
        <item x="135"/>
        <item x="80"/>
        <item x="58"/>
        <item x="267"/>
        <item x="57"/>
        <item x="274"/>
        <item x="110"/>
        <item x="174"/>
        <item x="217"/>
        <item x="177"/>
        <item x="227"/>
        <item x="291"/>
        <item x="203"/>
        <item x="68"/>
        <item x="55"/>
        <item x="77"/>
        <item x="292"/>
        <item x="259"/>
        <item x="277"/>
        <item x="221"/>
        <item x="180"/>
        <item x="293"/>
        <item x="247"/>
        <item x="191"/>
        <item x="96"/>
        <item x="22"/>
        <item x="166"/>
        <item x="156"/>
        <item x="137"/>
        <item x="261"/>
        <item x="207"/>
        <item x="210"/>
        <item x="136"/>
        <item x="120"/>
        <item x="280"/>
        <item x="73"/>
        <item x="24"/>
        <item x="278"/>
        <item x="195"/>
        <item x="152"/>
        <item x="208"/>
        <item x="49"/>
        <item x="47"/>
        <item x="27"/>
        <item x="258"/>
        <item x="90"/>
        <item x="85"/>
        <item x="222"/>
        <item x="204"/>
        <item x="64"/>
        <item x="19"/>
        <item x="128"/>
        <item x="235"/>
        <item x="185"/>
        <item x="9"/>
        <item x="181"/>
        <item x="93"/>
        <item x="266"/>
        <item x="209"/>
        <item x="13"/>
        <item x="116"/>
        <item x="239"/>
        <item x="216"/>
        <item x="8"/>
        <item x="91"/>
        <item x="202"/>
        <item x="16"/>
        <item x="81"/>
        <item x="257"/>
        <item x="201"/>
        <item x="295"/>
        <item x="175"/>
        <item x="40"/>
        <item x="4"/>
        <item x="98"/>
        <item x="189"/>
        <item x="182"/>
        <item x="279"/>
        <item x="65"/>
        <item x="63"/>
        <item x="124"/>
        <item x="288"/>
        <item x="254"/>
        <item x="145"/>
        <item x="169"/>
        <item x="241"/>
        <item x="50"/>
        <item x="206"/>
        <item x="157"/>
        <item x="253"/>
        <item x="129"/>
        <item x="194"/>
        <item x="205"/>
        <item x="287"/>
        <item x="252"/>
        <item x="44"/>
        <item x="212"/>
        <item x="75"/>
        <item x="39"/>
        <item x="250"/>
        <item x="176"/>
        <item x="178"/>
        <item x="192"/>
        <item x="86"/>
        <item x="104"/>
        <item x="188"/>
        <item x="41"/>
        <item x="127"/>
        <item x="45"/>
        <item x="286"/>
        <item x="150"/>
        <item x="131"/>
        <item x="245"/>
        <item x="173"/>
        <item x="196"/>
        <item x="126"/>
        <item x="190"/>
        <item x="237"/>
        <item x="43"/>
        <item x="294"/>
        <item x="28"/>
        <item x="186"/>
        <item x="34"/>
        <item x="35"/>
        <item x="54"/>
        <item x="143"/>
        <item x="42"/>
        <item x="7"/>
        <item x="284"/>
        <item x="160"/>
        <item x="142"/>
        <item x="69"/>
        <item x="46"/>
        <item x="74"/>
        <item x="230"/>
        <item x="256"/>
        <item x="89"/>
        <item x="18"/>
        <item x="297"/>
        <item x="67"/>
        <item x="117"/>
        <item x="242"/>
        <item x="154"/>
        <item x="61"/>
        <item x="62"/>
        <item x="251"/>
        <item x="225"/>
        <item x="276"/>
        <item x="15"/>
        <item x="101"/>
        <item x="99"/>
        <item x="26"/>
        <item x="214"/>
        <item x="170"/>
        <item x="6"/>
        <item x="83"/>
        <item x="70"/>
        <item x="97"/>
        <item x="289"/>
        <item x="171"/>
        <item x="272"/>
        <item x="299"/>
        <item x="200"/>
        <item x="123"/>
        <item x="232"/>
        <item x="269"/>
        <item x="114"/>
        <item x="79"/>
        <item x="165"/>
        <item x="244"/>
        <item x="109"/>
        <item x="161"/>
        <item x="155"/>
        <item x="158"/>
        <item x="248"/>
        <item x="153"/>
        <item x="115"/>
        <item x="199"/>
        <item x="103"/>
        <item x="1"/>
        <item x="88"/>
        <item x="260"/>
        <item x="179"/>
        <item x="139"/>
        <item x="106"/>
        <item x="231"/>
        <item x="282"/>
        <item x="273"/>
        <item x="121"/>
        <item x="285"/>
        <item x="20"/>
        <item x="141"/>
        <item x="56"/>
        <item x="218"/>
        <item x="148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9">
        <item x="3"/>
        <item x="6"/>
        <item x="1"/>
        <item x="2"/>
        <item x="5"/>
        <item x="7"/>
        <item x="4"/>
        <item x="0"/>
        <item t="default"/>
      </items>
    </pivotField>
    <pivotField compact="0" showAll="0">
      <items count="6">
        <item x="1"/>
        <item x="2"/>
        <item x="0"/>
        <item x="3"/>
        <item x="4"/>
        <item t="default"/>
      </items>
    </pivotField>
    <pivotField compact="0" numFmtId="185" showAll="0">
      <items count="47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t="default"/>
      </items>
    </pivotField>
    <pivotField compact="0" showAll="0">
      <items count="12">
        <item x="2"/>
        <item x="4"/>
        <item x="5"/>
        <item x="3"/>
        <item x="7"/>
        <item x="9"/>
        <item x="1"/>
        <item x="6"/>
        <item x="0"/>
        <item x="10"/>
        <item x="8"/>
        <item t="default"/>
      </items>
    </pivotField>
    <pivotField axis="axisRow" compact="0" showAll="0">
      <items count="111">
        <item x="74"/>
        <item x="1"/>
        <item x="2"/>
        <item x="3"/>
        <item x="4"/>
        <item x="5"/>
        <item x="6"/>
        <item x="7"/>
        <item x="8"/>
        <item x="9"/>
        <item x="10"/>
        <item x="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compact="0" numFmtId="184" showAll="0">
      <items count="100">
        <item x="34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5"/>
        <item x="36"/>
        <item x="37"/>
        <item x="38"/>
        <item x="39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53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0"/>
        <item x="40"/>
        <item x="72"/>
        <item t="default"/>
      </items>
    </pivotField>
    <pivotField compact="0" numFmtId="182" showAll="0">
      <items count="52">
        <item x="3"/>
        <item x="1"/>
        <item x="2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0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7"/>
  </rowFields>
  <rowItems count="1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 t="grand">
      <x/>
    </i>
  </rowItems>
  <colItems count="1">
    <i/>
  </colItems>
  <dataFields count="1">
    <dataField name="total Employee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1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F26:G35" firstHeaderRow="1" firstDataRow="1" firstDataCol="1"/>
  <pivotFields count="11">
    <pivotField compact="0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compact="0" showAll="0">
      <items count="301">
        <item x="72"/>
        <item x="33"/>
        <item x="240"/>
        <item x="132"/>
        <item x="95"/>
        <item x="183"/>
        <item x="163"/>
        <item x="119"/>
        <item x="246"/>
        <item x="52"/>
        <item x="265"/>
        <item x="271"/>
        <item x="23"/>
        <item x="12"/>
        <item x="162"/>
        <item x="233"/>
        <item x="71"/>
        <item x="112"/>
        <item x="53"/>
        <item x="105"/>
        <item x="21"/>
        <item x="84"/>
        <item x="159"/>
        <item x="125"/>
        <item x="193"/>
        <item x="144"/>
        <item x="111"/>
        <item x="122"/>
        <item x="30"/>
        <item x="298"/>
        <item x="66"/>
        <item x="78"/>
        <item x="130"/>
        <item x="262"/>
        <item x="59"/>
        <item x="211"/>
        <item x="36"/>
        <item x="219"/>
        <item x="82"/>
        <item x="220"/>
        <item x="134"/>
        <item x="283"/>
        <item x="224"/>
        <item x="31"/>
        <item x="108"/>
        <item x="51"/>
        <item x="168"/>
        <item x="184"/>
        <item x="172"/>
        <item x="229"/>
        <item x="213"/>
        <item x="268"/>
        <item x="234"/>
        <item x="102"/>
        <item x="238"/>
        <item x="14"/>
        <item x="226"/>
        <item x="118"/>
        <item x="270"/>
        <item x="133"/>
        <item x="138"/>
        <item x="3"/>
        <item x="290"/>
        <item x="94"/>
        <item x="76"/>
        <item x="107"/>
        <item x="147"/>
        <item x="38"/>
        <item x="281"/>
        <item x="113"/>
        <item x="264"/>
        <item x="255"/>
        <item x="10"/>
        <item x="140"/>
        <item x="236"/>
        <item x="29"/>
        <item x="198"/>
        <item x="151"/>
        <item x="146"/>
        <item x="223"/>
        <item x="215"/>
        <item x="32"/>
        <item x="2"/>
        <item x="197"/>
        <item x="25"/>
        <item x="263"/>
        <item x="249"/>
        <item x="243"/>
        <item x="275"/>
        <item x="17"/>
        <item x="11"/>
        <item x="100"/>
        <item x="228"/>
        <item x="87"/>
        <item x="164"/>
        <item x="60"/>
        <item x="296"/>
        <item x="48"/>
        <item x="37"/>
        <item x="187"/>
        <item x="5"/>
        <item x="92"/>
        <item x="167"/>
        <item x="149"/>
        <item x="135"/>
        <item x="80"/>
        <item x="58"/>
        <item x="267"/>
        <item x="57"/>
        <item x="274"/>
        <item x="110"/>
        <item x="174"/>
        <item x="217"/>
        <item x="177"/>
        <item x="227"/>
        <item x="291"/>
        <item x="203"/>
        <item x="68"/>
        <item x="55"/>
        <item x="77"/>
        <item x="292"/>
        <item x="259"/>
        <item x="277"/>
        <item x="221"/>
        <item x="180"/>
        <item x="293"/>
        <item x="247"/>
        <item x="191"/>
        <item x="96"/>
        <item x="22"/>
        <item x="166"/>
        <item x="156"/>
        <item x="137"/>
        <item x="261"/>
        <item x="207"/>
        <item x="210"/>
        <item x="136"/>
        <item x="120"/>
        <item x="280"/>
        <item x="73"/>
        <item x="24"/>
        <item x="278"/>
        <item x="195"/>
        <item x="152"/>
        <item x="208"/>
        <item x="49"/>
        <item x="47"/>
        <item x="27"/>
        <item x="258"/>
        <item x="90"/>
        <item x="85"/>
        <item x="222"/>
        <item x="204"/>
        <item x="64"/>
        <item x="19"/>
        <item x="128"/>
        <item x="235"/>
        <item x="185"/>
        <item x="9"/>
        <item x="181"/>
        <item x="93"/>
        <item x="266"/>
        <item x="209"/>
        <item x="13"/>
        <item x="116"/>
        <item x="239"/>
        <item x="216"/>
        <item x="8"/>
        <item x="91"/>
        <item x="202"/>
        <item x="16"/>
        <item x="81"/>
        <item x="257"/>
        <item x="201"/>
        <item x="295"/>
        <item x="175"/>
        <item x="40"/>
        <item x="4"/>
        <item x="98"/>
        <item x="189"/>
        <item x="182"/>
        <item x="279"/>
        <item x="65"/>
        <item x="63"/>
        <item x="124"/>
        <item x="288"/>
        <item x="254"/>
        <item x="145"/>
        <item x="169"/>
        <item x="241"/>
        <item x="50"/>
        <item x="206"/>
        <item x="157"/>
        <item x="253"/>
        <item x="129"/>
        <item x="194"/>
        <item x="205"/>
        <item x="287"/>
        <item x="252"/>
        <item x="44"/>
        <item x="212"/>
        <item x="75"/>
        <item x="39"/>
        <item x="250"/>
        <item x="176"/>
        <item x="178"/>
        <item x="192"/>
        <item x="86"/>
        <item x="104"/>
        <item x="188"/>
        <item x="41"/>
        <item x="127"/>
        <item x="45"/>
        <item x="286"/>
        <item x="150"/>
        <item x="131"/>
        <item x="245"/>
        <item x="173"/>
        <item x="196"/>
        <item x="126"/>
        <item x="190"/>
        <item x="237"/>
        <item x="43"/>
        <item x="294"/>
        <item x="28"/>
        <item x="186"/>
        <item x="34"/>
        <item x="35"/>
        <item x="54"/>
        <item x="143"/>
        <item x="42"/>
        <item x="7"/>
        <item x="284"/>
        <item x="160"/>
        <item x="142"/>
        <item x="69"/>
        <item x="46"/>
        <item x="74"/>
        <item x="230"/>
        <item x="256"/>
        <item x="89"/>
        <item x="18"/>
        <item x="297"/>
        <item x="67"/>
        <item x="117"/>
        <item x="242"/>
        <item x="154"/>
        <item x="61"/>
        <item x="62"/>
        <item x="251"/>
        <item x="225"/>
        <item x="276"/>
        <item x="15"/>
        <item x="101"/>
        <item x="99"/>
        <item x="26"/>
        <item x="214"/>
        <item x="170"/>
        <item x="6"/>
        <item x="83"/>
        <item x="70"/>
        <item x="97"/>
        <item x="289"/>
        <item x="171"/>
        <item x="272"/>
        <item x="299"/>
        <item x="200"/>
        <item x="123"/>
        <item x="232"/>
        <item x="269"/>
        <item x="114"/>
        <item x="79"/>
        <item x="165"/>
        <item x="244"/>
        <item x="109"/>
        <item x="161"/>
        <item x="155"/>
        <item x="158"/>
        <item x="248"/>
        <item x="153"/>
        <item x="115"/>
        <item x="199"/>
        <item x="103"/>
        <item x="1"/>
        <item x="88"/>
        <item x="260"/>
        <item x="179"/>
        <item x="139"/>
        <item x="106"/>
        <item x="231"/>
        <item x="282"/>
        <item x="273"/>
        <item x="121"/>
        <item x="285"/>
        <item x="20"/>
        <item x="141"/>
        <item x="56"/>
        <item x="218"/>
        <item x="148"/>
        <item x="0"/>
        <item t="default"/>
      </items>
    </pivotField>
    <pivotField compact="0" showAll="0">
      <items count="3">
        <item x="0"/>
        <item x="1"/>
        <item t="default"/>
      </items>
    </pivotField>
    <pivotField axis="axisRow" compact="0" sortType="descending" showAll="0">
      <items count="9">
        <item x="3"/>
        <item x="6"/>
        <item x="1"/>
        <item x="2"/>
        <item x="5"/>
        <item x="7"/>
        <item x="4"/>
        <item x="0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6">
        <item x="1"/>
        <item x="2"/>
        <item x="0"/>
        <item x="3"/>
        <item x="4"/>
        <item t="default"/>
      </items>
    </pivotField>
    <pivotField compact="0" numFmtId="185" showAll="0">
      <items count="47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t="default"/>
      </items>
    </pivotField>
    <pivotField compact="0" showAll="0">
      <items count="12">
        <item x="2"/>
        <item x="4"/>
        <item x="5"/>
        <item x="3"/>
        <item x="7"/>
        <item x="9"/>
        <item x="1"/>
        <item x="6"/>
        <item x="0"/>
        <item x="10"/>
        <item x="8"/>
        <item t="default"/>
      </items>
    </pivotField>
    <pivotField compact="0" showAll="0">
      <items count="111">
        <item x="74"/>
        <item x="1"/>
        <item x="2"/>
        <item x="3"/>
        <item x="4"/>
        <item x="5"/>
        <item x="6"/>
        <item x="7"/>
        <item x="8"/>
        <item x="9"/>
        <item x="10"/>
        <item x="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compact="0" numFmtId="184" showAll="0">
      <items count="100">
        <item x="34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5"/>
        <item x="36"/>
        <item x="37"/>
        <item x="38"/>
        <item x="39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53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0"/>
        <item x="40"/>
        <item x="72"/>
        <item t="default"/>
      </items>
    </pivotField>
    <pivotField dataField="1" compact="0" numFmtId="182" showAll="0">
      <items count="52">
        <item x="3"/>
        <item x="1"/>
        <item x="2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0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3"/>
  </rowFields>
  <rowItems count="9">
    <i>
      <x v="7"/>
    </i>
    <i>
      <x v="4"/>
    </i>
    <i>
      <x v="5"/>
    </i>
    <i>
      <x v="2"/>
    </i>
    <i>
      <x/>
    </i>
    <i>
      <x v="6"/>
    </i>
    <i>
      <x v="1"/>
    </i>
    <i>
      <x v="3"/>
    </i>
    <i t="grand">
      <x/>
    </i>
  </rowItems>
  <colItems count="1">
    <i/>
  </colItems>
  <dataFields count="1">
    <dataField name="Avg Performance Score" fld="9" subtotal="average" baseField="0" baseItem="0"/>
  </dataFields>
  <formats count="7">
    <format dxfId="40">
      <pivotArea collapsedLevelsAreSubtotals="1" fieldPosition="0"/>
    </format>
    <format dxfId="41">
      <pivotArea collapsedLevelsAreSubtotals="1" fieldPosition="0"/>
    </format>
    <format dxfId="42">
      <pivotArea collapsedLevelsAreSubtotals="1" fieldPosition="0"/>
    </format>
    <format dxfId="43">
      <pivotArea collapsedLevelsAreSubtotals="1" fieldPosition="0"/>
    </format>
    <format dxfId="44">
      <pivotArea collapsedLevelsAreSubtotals="1" fieldPosition="0"/>
    </format>
    <format dxfId="45">
      <pivotArea collapsedLevelsAreSubtotals="1" fieldPosition="0"/>
    </format>
    <format dxfId="46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2.xml><?xml version="1.0" encoding="utf-8"?>
<pivotTableDefinition xmlns="http://schemas.openxmlformats.org/spreadsheetml/2006/main" name="PivotTable1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I26:J38" firstHeaderRow="1" firstDataRow="1" firstDataCol="1"/>
  <pivotFields count="11">
    <pivotField dataField="1" compact="0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compact="0" showAll="0">
      <items count="301">
        <item x="72"/>
        <item x="33"/>
        <item x="240"/>
        <item x="132"/>
        <item x="95"/>
        <item x="183"/>
        <item x="163"/>
        <item x="119"/>
        <item x="246"/>
        <item x="52"/>
        <item x="265"/>
        <item x="271"/>
        <item x="23"/>
        <item x="12"/>
        <item x="162"/>
        <item x="233"/>
        <item x="71"/>
        <item x="112"/>
        <item x="53"/>
        <item x="105"/>
        <item x="21"/>
        <item x="84"/>
        <item x="159"/>
        <item x="125"/>
        <item x="193"/>
        <item x="144"/>
        <item x="111"/>
        <item x="122"/>
        <item x="30"/>
        <item x="298"/>
        <item x="66"/>
        <item x="78"/>
        <item x="130"/>
        <item x="262"/>
        <item x="59"/>
        <item x="211"/>
        <item x="36"/>
        <item x="219"/>
        <item x="82"/>
        <item x="220"/>
        <item x="134"/>
        <item x="283"/>
        <item x="224"/>
        <item x="31"/>
        <item x="108"/>
        <item x="51"/>
        <item x="168"/>
        <item x="184"/>
        <item x="172"/>
        <item x="229"/>
        <item x="213"/>
        <item x="268"/>
        <item x="234"/>
        <item x="102"/>
        <item x="238"/>
        <item x="14"/>
        <item x="226"/>
        <item x="118"/>
        <item x="270"/>
        <item x="133"/>
        <item x="138"/>
        <item x="3"/>
        <item x="290"/>
        <item x="94"/>
        <item x="76"/>
        <item x="107"/>
        <item x="147"/>
        <item x="38"/>
        <item x="281"/>
        <item x="113"/>
        <item x="264"/>
        <item x="255"/>
        <item x="10"/>
        <item x="140"/>
        <item x="236"/>
        <item x="29"/>
        <item x="198"/>
        <item x="151"/>
        <item x="146"/>
        <item x="223"/>
        <item x="215"/>
        <item x="32"/>
        <item x="2"/>
        <item x="197"/>
        <item x="25"/>
        <item x="263"/>
        <item x="249"/>
        <item x="243"/>
        <item x="275"/>
        <item x="17"/>
        <item x="11"/>
        <item x="100"/>
        <item x="228"/>
        <item x="87"/>
        <item x="164"/>
        <item x="60"/>
        <item x="296"/>
        <item x="48"/>
        <item x="37"/>
        <item x="187"/>
        <item x="5"/>
        <item x="92"/>
        <item x="167"/>
        <item x="149"/>
        <item x="135"/>
        <item x="80"/>
        <item x="58"/>
        <item x="267"/>
        <item x="57"/>
        <item x="274"/>
        <item x="110"/>
        <item x="174"/>
        <item x="217"/>
        <item x="177"/>
        <item x="227"/>
        <item x="291"/>
        <item x="203"/>
        <item x="68"/>
        <item x="55"/>
        <item x="77"/>
        <item x="292"/>
        <item x="259"/>
        <item x="277"/>
        <item x="221"/>
        <item x="180"/>
        <item x="293"/>
        <item x="247"/>
        <item x="191"/>
        <item x="96"/>
        <item x="22"/>
        <item x="166"/>
        <item x="156"/>
        <item x="137"/>
        <item x="261"/>
        <item x="207"/>
        <item x="210"/>
        <item x="136"/>
        <item x="120"/>
        <item x="280"/>
        <item x="73"/>
        <item x="24"/>
        <item x="278"/>
        <item x="195"/>
        <item x="152"/>
        <item x="208"/>
        <item x="49"/>
        <item x="47"/>
        <item x="27"/>
        <item x="258"/>
        <item x="90"/>
        <item x="85"/>
        <item x="222"/>
        <item x="204"/>
        <item x="64"/>
        <item x="19"/>
        <item x="128"/>
        <item x="235"/>
        <item x="185"/>
        <item x="9"/>
        <item x="181"/>
        <item x="93"/>
        <item x="266"/>
        <item x="209"/>
        <item x="13"/>
        <item x="116"/>
        <item x="239"/>
        <item x="216"/>
        <item x="8"/>
        <item x="91"/>
        <item x="202"/>
        <item x="16"/>
        <item x="81"/>
        <item x="257"/>
        <item x="201"/>
        <item x="295"/>
        <item x="175"/>
        <item x="40"/>
        <item x="4"/>
        <item x="98"/>
        <item x="189"/>
        <item x="182"/>
        <item x="279"/>
        <item x="65"/>
        <item x="63"/>
        <item x="124"/>
        <item x="288"/>
        <item x="254"/>
        <item x="145"/>
        <item x="169"/>
        <item x="241"/>
        <item x="50"/>
        <item x="206"/>
        <item x="157"/>
        <item x="253"/>
        <item x="129"/>
        <item x="194"/>
        <item x="205"/>
        <item x="287"/>
        <item x="252"/>
        <item x="44"/>
        <item x="212"/>
        <item x="75"/>
        <item x="39"/>
        <item x="250"/>
        <item x="176"/>
        <item x="178"/>
        <item x="192"/>
        <item x="86"/>
        <item x="104"/>
        <item x="188"/>
        <item x="41"/>
        <item x="127"/>
        <item x="45"/>
        <item x="286"/>
        <item x="150"/>
        <item x="131"/>
        <item x="245"/>
        <item x="173"/>
        <item x="196"/>
        <item x="126"/>
        <item x="190"/>
        <item x="237"/>
        <item x="43"/>
        <item x="294"/>
        <item x="28"/>
        <item x="186"/>
        <item x="34"/>
        <item x="35"/>
        <item x="54"/>
        <item x="143"/>
        <item x="42"/>
        <item x="7"/>
        <item x="284"/>
        <item x="160"/>
        <item x="142"/>
        <item x="69"/>
        <item x="46"/>
        <item x="74"/>
        <item x="230"/>
        <item x="256"/>
        <item x="89"/>
        <item x="18"/>
        <item x="297"/>
        <item x="67"/>
        <item x="117"/>
        <item x="242"/>
        <item x="154"/>
        <item x="61"/>
        <item x="62"/>
        <item x="251"/>
        <item x="225"/>
        <item x="276"/>
        <item x="15"/>
        <item x="101"/>
        <item x="99"/>
        <item x="26"/>
        <item x="214"/>
        <item x="170"/>
        <item x="6"/>
        <item x="83"/>
        <item x="70"/>
        <item x="97"/>
        <item x="289"/>
        <item x="171"/>
        <item x="272"/>
        <item x="299"/>
        <item x="200"/>
        <item x="123"/>
        <item x="232"/>
        <item x="269"/>
        <item x="114"/>
        <item x="79"/>
        <item x="165"/>
        <item x="244"/>
        <item x="109"/>
        <item x="161"/>
        <item x="155"/>
        <item x="158"/>
        <item x="248"/>
        <item x="153"/>
        <item x="115"/>
        <item x="199"/>
        <item x="103"/>
        <item x="1"/>
        <item x="88"/>
        <item x="260"/>
        <item x="179"/>
        <item x="139"/>
        <item x="106"/>
        <item x="231"/>
        <item x="282"/>
        <item x="273"/>
        <item x="121"/>
        <item x="285"/>
        <item x="20"/>
        <item x="141"/>
        <item x="56"/>
        <item x="218"/>
        <item x="148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9">
        <item x="3"/>
        <item x="6"/>
        <item x="1"/>
        <item x="2"/>
        <item x="5"/>
        <item x="7"/>
        <item x="4"/>
        <item x="0"/>
        <item t="default"/>
      </items>
    </pivotField>
    <pivotField compact="0" showAll="0">
      <items count="6">
        <item x="1"/>
        <item x="2"/>
        <item x="0"/>
        <item x="3"/>
        <item x="4"/>
        <item t="default"/>
      </items>
    </pivotField>
    <pivotField compact="0" numFmtId="185" showAll="0">
      <items count="47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t="default"/>
      </items>
    </pivotField>
    <pivotField axis="axisRow" compact="0" showAll="0">
      <items count="12">
        <item x="2"/>
        <item x="4"/>
        <item x="5"/>
        <item x="3"/>
        <item x="7"/>
        <item x="9"/>
        <item x="1"/>
        <item x="6"/>
        <item x="0"/>
        <item x="10"/>
        <item x="8"/>
        <item t="default"/>
      </items>
    </pivotField>
    <pivotField compact="0" showAll="0">
      <items count="111">
        <item x="74"/>
        <item x="1"/>
        <item x="2"/>
        <item x="3"/>
        <item x="4"/>
        <item x="5"/>
        <item x="6"/>
        <item x="7"/>
        <item x="8"/>
        <item x="9"/>
        <item x="10"/>
        <item x="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compact="0" numFmtId="184" showAll="0">
      <items count="100">
        <item x="34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5"/>
        <item x="36"/>
        <item x="37"/>
        <item x="38"/>
        <item x="39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53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0"/>
        <item x="40"/>
        <item x="72"/>
        <item t="default"/>
      </items>
    </pivotField>
    <pivotField compact="0" numFmtId="182" showAll="0">
      <items count="52">
        <item x="3"/>
        <item x="1"/>
        <item x="2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0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6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total Employee_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3.xml><?xml version="1.0" encoding="utf-8"?>
<pivotTableDefinition xmlns="http://schemas.openxmlformats.org/spreadsheetml/2006/main" name="PivotTable1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L26:M29" firstHeaderRow="1" firstDataRow="1" firstDataCol="1"/>
  <pivotFields count="11">
    <pivotField compact="0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dataField="1" compact="0" showAll="0">
      <items count="301">
        <item x="72"/>
        <item x="33"/>
        <item x="240"/>
        <item x="132"/>
        <item x="95"/>
        <item x="183"/>
        <item x="163"/>
        <item x="119"/>
        <item x="246"/>
        <item x="52"/>
        <item x="265"/>
        <item x="271"/>
        <item x="23"/>
        <item x="12"/>
        <item x="162"/>
        <item x="233"/>
        <item x="71"/>
        <item x="112"/>
        <item x="53"/>
        <item x="105"/>
        <item x="21"/>
        <item x="84"/>
        <item x="159"/>
        <item x="125"/>
        <item x="193"/>
        <item x="144"/>
        <item x="111"/>
        <item x="122"/>
        <item x="30"/>
        <item x="298"/>
        <item x="66"/>
        <item x="78"/>
        <item x="130"/>
        <item x="262"/>
        <item x="59"/>
        <item x="211"/>
        <item x="36"/>
        <item x="219"/>
        <item x="82"/>
        <item x="220"/>
        <item x="134"/>
        <item x="283"/>
        <item x="224"/>
        <item x="31"/>
        <item x="108"/>
        <item x="51"/>
        <item x="168"/>
        <item x="184"/>
        <item x="172"/>
        <item x="229"/>
        <item x="213"/>
        <item x="268"/>
        <item x="234"/>
        <item x="102"/>
        <item x="238"/>
        <item x="14"/>
        <item x="226"/>
        <item x="118"/>
        <item x="270"/>
        <item x="133"/>
        <item x="138"/>
        <item x="3"/>
        <item x="290"/>
        <item x="94"/>
        <item x="76"/>
        <item x="107"/>
        <item x="147"/>
        <item x="38"/>
        <item x="281"/>
        <item x="113"/>
        <item x="264"/>
        <item x="255"/>
        <item x="10"/>
        <item x="140"/>
        <item x="236"/>
        <item x="29"/>
        <item x="198"/>
        <item x="151"/>
        <item x="146"/>
        <item x="223"/>
        <item x="215"/>
        <item x="32"/>
        <item x="2"/>
        <item x="197"/>
        <item x="25"/>
        <item x="263"/>
        <item x="249"/>
        <item x="243"/>
        <item x="275"/>
        <item x="17"/>
        <item x="11"/>
        <item x="100"/>
        <item x="228"/>
        <item x="87"/>
        <item x="164"/>
        <item x="60"/>
        <item x="296"/>
        <item x="48"/>
        <item x="37"/>
        <item x="187"/>
        <item x="5"/>
        <item x="92"/>
        <item x="167"/>
        <item x="149"/>
        <item x="135"/>
        <item x="80"/>
        <item x="58"/>
        <item x="267"/>
        <item x="57"/>
        <item x="274"/>
        <item x="110"/>
        <item x="174"/>
        <item x="217"/>
        <item x="177"/>
        <item x="227"/>
        <item x="291"/>
        <item x="203"/>
        <item x="68"/>
        <item x="55"/>
        <item x="77"/>
        <item x="292"/>
        <item x="259"/>
        <item x="277"/>
        <item x="221"/>
        <item x="180"/>
        <item x="293"/>
        <item x="247"/>
        <item x="191"/>
        <item x="96"/>
        <item x="22"/>
        <item x="166"/>
        <item x="156"/>
        <item x="137"/>
        <item x="261"/>
        <item x="207"/>
        <item x="210"/>
        <item x="136"/>
        <item x="120"/>
        <item x="280"/>
        <item x="73"/>
        <item x="24"/>
        <item x="278"/>
        <item x="195"/>
        <item x="152"/>
        <item x="208"/>
        <item x="49"/>
        <item x="47"/>
        <item x="27"/>
        <item x="258"/>
        <item x="90"/>
        <item x="85"/>
        <item x="222"/>
        <item x="204"/>
        <item x="64"/>
        <item x="19"/>
        <item x="128"/>
        <item x="235"/>
        <item x="185"/>
        <item x="9"/>
        <item x="181"/>
        <item x="93"/>
        <item x="266"/>
        <item x="209"/>
        <item x="13"/>
        <item x="116"/>
        <item x="239"/>
        <item x="216"/>
        <item x="8"/>
        <item x="91"/>
        <item x="202"/>
        <item x="16"/>
        <item x="81"/>
        <item x="257"/>
        <item x="201"/>
        <item x="295"/>
        <item x="175"/>
        <item x="40"/>
        <item x="4"/>
        <item x="98"/>
        <item x="189"/>
        <item x="182"/>
        <item x="279"/>
        <item x="65"/>
        <item x="63"/>
        <item x="124"/>
        <item x="288"/>
        <item x="254"/>
        <item x="145"/>
        <item x="169"/>
        <item x="241"/>
        <item x="50"/>
        <item x="206"/>
        <item x="157"/>
        <item x="253"/>
        <item x="129"/>
        <item x="194"/>
        <item x="205"/>
        <item x="287"/>
        <item x="252"/>
        <item x="44"/>
        <item x="212"/>
        <item x="75"/>
        <item x="39"/>
        <item x="250"/>
        <item x="176"/>
        <item x="178"/>
        <item x="192"/>
        <item x="86"/>
        <item x="104"/>
        <item x="188"/>
        <item x="41"/>
        <item x="127"/>
        <item x="45"/>
        <item x="286"/>
        <item x="150"/>
        <item x="131"/>
        <item x="245"/>
        <item x="173"/>
        <item x="196"/>
        <item x="126"/>
        <item x="190"/>
        <item x="237"/>
        <item x="43"/>
        <item x="294"/>
        <item x="28"/>
        <item x="186"/>
        <item x="34"/>
        <item x="35"/>
        <item x="54"/>
        <item x="143"/>
        <item x="42"/>
        <item x="7"/>
        <item x="284"/>
        <item x="160"/>
        <item x="142"/>
        <item x="69"/>
        <item x="46"/>
        <item x="74"/>
        <item x="230"/>
        <item x="256"/>
        <item x="89"/>
        <item x="18"/>
        <item x="297"/>
        <item x="67"/>
        <item x="117"/>
        <item x="242"/>
        <item x="154"/>
        <item x="61"/>
        <item x="62"/>
        <item x="251"/>
        <item x="225"/>
        <item x="276"/>
        <item x="15"/>
        <item x="101"/>
        <item x="99"/>
        <item x="26"/>
        <item x="214"/>
        <item x="170"/>
        <item x="6"/>
        <item x="83"/>
        <item x="70"/>
        <item x="97"/>
        <item x="289"/>
        <item x="171"/>
        <item x="272"/>
        <item x="299"/>
        <item x="200"/>
        <item x="123"/>
        <item x="232"/>
        <item x="269"/>
        <item x="114"/>
        <item x="79"/>
        <item x="165"/>
        <item x="244"/>
        <item x="109"/>
        <item x="161"/>
        <item x="155"/>
        <item x="158"/>
        <item x="248"/>
        <item x="153"/>
        <item x="115"/>
        <item x="199"/>
        <item x="103"/>
        <item x="1"/>
        <item x="88"/>
        <item x="260"/>
        <item x="179"/>
        <item x="139"/>
        <item x="106"/>
        <item x="231"/>
        <item x="282"/>
        <item x="273"/>
        <item x="121"/>
        <item x="285"/>
        <item x="20"/>
        <item x="141"/>
        <item x="56"/>
        <item x="218"/>
        <item x="148"/>
        <item x="0"/>
        <item t="default"/>
      </items>
    </pivotField>
    <pivotField axis="axisRow" compact="0" showAll="0">
      <items count="3">
        <item x="0"/>
        <item x="1"/>
        <item t="default"/>
      </items>
    </pivotField>
    <pivotField compact="0" showAll="0">
      <items count="9">
        <item x="3"/>
        <item x="6"/>
        <item x="1"/>
        <item x="2"/>
        <item x="5"/>
        <item x="7"/>
        <item x="4"/>
        <item x="0"/>
        <item t="default"/>
      </items>
    </pivotField>
    <pivotField compact="0" showAll="0">
      <items count="6">
        <item x="1"/>
        <item x="2"/>
        <item x="0"/>
        <item x="3"/>
        <item x="4"/>
        <item t="default"/>
      </items>
    </pivotField>
    <pivotField compact="0" numFmtId="185" showAll="0">
      <items count="47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t="default"/>
      </items>
    </pivotField>
    <pivotField compact="0" showAll="0">
      <items count="12">
        <item x="2"/>
        <item x="4"/>
        <item x="5"/>
        <item x="3"/>
        <item x="7"/>
        <item x="9"/>
        <item x="1"/>
        <item x="6"/>
        <item x="0"/>
        <item x="10"/>
        <item x="8"/>
        <item t="default"/>
      </items>
    </pivotField>
    <pivotField compact="0" showAll="0">
      <items count="111">
        <item x="74"/>
        <item x="1"/>
        <item x="2"/>
        <item x="3"/>
        <item x="4"/>
        <item x="5"/>
        <item x="6"/>
        <item x="7"/>
        <item x="8"/>
        <item x="9"/>
        <item x="10"/>
        <item x="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compact="0" numFmtId="184" showAll="0">
      <items count="100">
        <item x="34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5"/>
        <item x="36"/>
        <item x="37"/>
        <item x="38"/>
        <item x="39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53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0"/>
        <item x="40"/>
        <item x="72"/>
        <item t="default"/>
      </items>
    </pivotField>
    <pivotField compact="0" numFmtId="182" showAll="0">
      <items count="52">
        <item x="3"/>
        <item x="1"/>
        <item x="2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0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total Employee" fld="1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4.xml><?xml version="1.0" encoding="utf-8"?>
<pivotTableDefinition xmlns="http://schemas.openxmlformats.org/spreadsheetml/2006/main" name="PivotTable1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L10:N21" firstHeaderRow="1" firstDataRow="1" firstDataCol="2"/>
  <pivotFields count="11">
    <pivotField compact="0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axis="axisRow" name="Name" measureFilter="1" compact="0" sortType="descending" showAll="0">
      <items count="301">
        <item x="148"/>
        <item x="218"/>
        <item x="56"/>
        <item x="141"/>
        <item x="20"/>
        <item x="285"/>
        <item x="121"/>
        <item x="273"/>
        <item x="282"/>
        <item x="231"/>
        <item x="106"/>
        <item x="139"/>
        <item x="179"/>
        <item x="260"/>
        <item x="88"/>
        <item x="1"/>
        <item x="103"/>
        <item x="199"/>
        <item x="115"/>
        <item x="153"/>
        <item x="248"/>
        <item x="158"/>
        <item x="155"/>
        <item x="161"/>
        <item x="109"/>
        <item x="244"/>
        <item x="165"/>
        <item x="79"/>
        <item x="114"/>
        <item x="269"/>
        <item x="232"/>
        <item x="123"/>
        <item x="200"/>
        <item x="299"/>
        <item x="272"/>
        <item x="171"/>
        <item x="289"/>
        <item x="97"/>
        <item x="70"/>
        <item x="83"/>
        <item x="6"/>
        <item x="170"/>
        <item x="214"/>
        <item x="26"/>
        <item x="99"/>
        <item x="101"/>
        <item x="15"/>
        <item x="276"/>
        <item x="225"/>
        <item x="251"/>
        <item x="62"/>
        <item x="61"/>
        <item x="154"/>
        <item x="242"/>
        <item x="117"/>
        <item x="67"/>
        <item x="297"/>
        <item x="18"/>
        <item x="89"/>
        <item x="256"/>
        <item x="230"/>
        <item x="74"/>
        <item x="46"/>
        <item x="69"/>
        <item x="142"/>
        <item x="160"/>
        <item x="284"/>
        <item x="7"/>
        <item x="42"/>
        <item x="143"/>
        <item x="54"/>
        <item x="35"/>
        <item x="34"/>
        <item x="186"/>
        <item x="28"/>
        <item x="294"/>
        <item x="43"/>
        <item x="237"/>
        <item x="190"/>
        <item x="126"/>
        <item x="196"/>
        <item x="173"/>
        <item x="245"/>
        <item x="131"/>
        <item x="150"/>
        <item x="286"/>
        <item x="45"/>
        <item x="127"/>
        <item x="41"/>
        <item x="0"/>
        <item x="188"/>
        <item x="104"/>
        <item x="86"/>
        <item x="192"/>
        <item x="178"/>
        <item x="176"/>
        <item x="250"/>
        <item x="39"/>
        <item x="75"/>
        <item x="212"/>
        <item x="44"/>
        <item x="252"/>
        <item x="287"/>
        <item x="205"/>
        <item x="194"/>
        <item x="129"/>
        <item x="253"/>
        <item x="157"/>
        <item x="206"/>
        <item x="50"/>
        <item x="241"/>
        <item x="169"/>
        <item x="145"/>
        <item x="254"/>
        <item x="288"/>
        <item x="124"/>
        <item x="63"/>
        <item x="65"/>
        <item x="279"/>
        <item x="182"/>
        <item x="189"/>
        <item x="98"/>
        <item x="4"/>
        <item x="40"/>
        <item x="175"/>
        <item x="295"/>
        <item x="201"/>
        <item x="257"/>
        <item x="81"/>
        <item x="16"/>
        <item x="202"/>
        <item x="91"/>
        <item x="8"/>
        <item x="216"/>
        <item x="239"/>
        <item x="116"/>
        <item x="13"/>
        <item x="209"/>
        <item x="266"/>
        <item x="93"/>
        <item x="181"/>
        <item x="9"/>
        <item x="185"/>
        <item x="235"/>
        <item x="128"/>
        <item x="19"/>
        <item x="64"/>
        <item x="204"/>
        <item x="222"/>
        <item x="85"/>
        <item x="90"/>
        <item x="258"/>
        <item x="27"/>
        <item x="47"/>
        <item x="49"/>
        <item x="208"/>
        <item x="152"/>
        <item x="195"/>
        <item x="278"/>
        <item x="24"/>
        <item x="73"/>
        <item x="280"/>
        <item x="120"/>
        <item x="136"/>
        <item x="210"/>
        <item x="207"/>
        <item x="261"/>
        <item x="137"/>
        <item x="156"/>
        <item x="166"/>
        <item x="22"/>
        <item x="96"/>
        <item x="191"/>
        <item x="247"/>
        <item x="293"/>
        <item x="180"/>
        <item x="221"/>
        <item x="277"/>
        <item x="259"/>
        <item x="292"/>
        <item x="77"/>
        <item x="55"/>
        <item x="68"/>
        <item x="203"/>
        <item x="291"/>
        <item x="227"/>
        <item x="177"/>
        <item x="217"/>
        <item x="174"/>
        <item x="110"/>
        <item x="274"/>
        <item x="57"/>
        <item x="267"/>
        <item x="58"/>
        <item x="80"/>
        <item x="135"/>
        <item x="149"/>
        <item x="167"/>
        <item x="92"/>
        <item x="5"/>
        <item x="187"/>
        <item x="37"/>
        <item x="48"/>
        <item x="296"/>
        <item x="60"/>
        <item x="164"/>
        <item x="87"/>
        <item x="228"/>
        <item x="100"/>
        <item x="11"/>
        <item x="17"/>
        <item x="275"/>
        <item x="243"/>
        <item x="249"/>
        <item x="263"/>
        <item x="25"/>
        <item x="197"/>
        <item x="2"/>
        <item x="32"/>
        <item x="215"/>
        <item x="223"/>
        <item x="146"/>
        <item x="151"/>
        <item x="198"/>
        <item x="29"/>
        <item x="236"/>
        <item x="140"/>
        <item x="10"/>
        <item x="255"/>
        <item x="264"/>
        <item x="113"/>
        <item x="281"/>
        <item x="38"/>
        <item x="147"/>
        <item x="107"/>
        <item x="76"/>
        <item x="94"/>
        <item x="290"/>
        <item x="3"/>
        <item x="138"/>
        <item x="133"/>
        <item x="270"/>
        <item x="118"/>
        <item x="226"/>
        <item x="14"/>
        <item x="238"/>
        <item x="102"/>
        <item x="234"/>
        <item x="268"/>
        <item x="213"/>
        <item x="229"/>
        <item x="172"/>
        <item x="184"/>
        <item x="168"/>
        <item x="51"/>
        <item x="108"/>
        <item x="31"/>
        <item x="224"/>
        <item x="283"/>
        <item x="134"/>
        <item x="220"/>
        <item x="82"/>
        <item x="219"/>
        <item x="36"/>
        <item x="211"/>
        <item x="59"/>
        <item x="262"/>
        <item x="130"/>
        <item x="78"/>
        <item x="66"/>
        <item x="298"/>
        <item x="30"/>
        <item x="122"/>
        <item x="111"/>
        <item x="144"/>
        <item x="193"/>
        <item x="125"/>
        <item x="159"/>
        <item x="84"/>
        <item x="21"/>
        <item x="105"/>
        <item x="53"/>
        <item x="112"/>
        <item x="71"/>
        <item x="233"/>
        <item x="162"/>
        <item x="12"/>
        <item x="23"/>
        <item x="271"/>
        <item x="265"/>
        <item x="52"/>
        <item x="246"/>
        <item x="119"/>
        <item x="163"/>
        <item x="183"/>
        <item x="95"/>
        <item x="132"/>
        <item x="240"/>
        <item x="33"/>
        <item x="72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3">
        <item x="0"/>
        <item x="1"/>
        <item t="default"/>
      </items>
    </pivotField>
    <pivotField axis="axisRow" compact="0" showAll="0">
      <items count="9">
        <item x="3"/>
        <item x="6"/>
        <item x="1"/>
        <item x="2"/>
        <item x="5"/>
        <item x="7"/>
        <item x="4"/>
        <item x="0"/>
        <item t="default"/>
      </items>
    </pivotField>
    <pivotField compact="0" showAll="0">
      <items count="6">
        <item x="1"/>
        <item x="2"/>
        <item x="0"/>
        <item x="3"/>
        <item x="4"/>
        <item t="default"/>
      </items>
    </pivotField>
    <pivotField compact="0" numFmtId="185" showAll="0">
      <items count="47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t="default"/>
      </items>
    </pivotField>
    <pivotField compact="0" showAll="0">
      <items count="12">
        <item x="2"/>
        <item x="4"/>
        <item x="5"/>
        <item x="3"/>
        <item x="7"/>
        <item x="9"/>
        <item x="1"/>
        <item x="6"/>
        <item x="0"/>
        <item x="10"/>
        <item x="8"/>
        <item t="default"/>
      </items>
    </pivotField>
    <pivotField compact="0" showAll="0">
      <items count="111">
        <item x="74"/>
        <item x="1"/>
        <item x="2"/>
        <item x="3"/>
        <item x="4"/>
        <item x="5"/>
        <item x="6"/>
        <item x="7"/>
        <item x="8"/>
        <item x="9"/>
        <item x="10"/>
        <item x="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compact="0" numFmtId="184" showAll="0">
      <items count="100">
        <item x="34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5"/>
        <item x="36"/>
        <item x="37"/>
        <item x="38"/>
        <item x="39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53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0"/>
        <item x="40"/>
        <item x="72"/>
        <item t="default"/>
      </items>
    </pivotField>
    <pivotField dataField="1" compact="0" numFmtId="182" showAll="0">
      <items count="52">
        <item x="3"/>
        <item x="1"/>
        <item x="2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0"/>
        <item t="default"/>
      </items>
    </pivotField>
    <pivotField compact="0" showAll="0">
      <items count="3">
        <item x="0"/>
        <item x="1"/>
        <item t="default"/>
      </items>
    </pivotField>
  </pivotFields>
  <rowFields count="2">
    <field x="1"/>
    <field x="3"/>
  </rowFields>
  <rowItems count="11">
    <i>
      <x v="89"/>
    </i>
    <i r="1">
      <x v="7"/>
    </i>
    <i>
      <x v="45"/>
    </i>
    <i r="1">
      <x v="2"/>
    </i>
    <i>
      <x v="273"/>
    </i>
    <i r="1">
      <x v="5"/>
    </i>
    <i>
      <x v="237"/>
    </i>
    <i r="1">
      <x v="2"/>
    </i>
    <i>
      <x v="158"/>
    </i>
    <i r="1">
      <x v="4"/>
    </i>
    <i t="grand">
      <x/>
    </i>
  </rowItems>
  <colItems count="1">
    <i/>
  </colItems>
  <dataFields count="1">
    <dataField name="Avg Performance" fld="9" subtotal="average" baseField="0" baseItem="0"/>
  </dataFields>
  <formats count="20">
    <format dxfId="47">
      <pivotArea type="all" dataOnly="0" outline="0" fieldPosition="0"/>
    </format>
    <format dxfId="48">
      <pivotArea type="all" dataOnly="0" outline="0" fieldPosition="0"/>
    </format>
    <format dxfId="49">
      <pivotArea type="all" dataOnly="0" outline="0" fieldPosition="0"/>
    </format>
    <format dxfId="50">
      <pivotArea type="all" dataOnly="0" outline="0" fieldPosition="0"/>
    </format>
    <format dxfId="51">
      <pivotArea type="all" dataOnly="0" outline="0" fieldPosition="0"/>
    </format>
    <format dxfId="52">
      <pivotArea type="all" dataOnly="0" outline="0" fieldPosition="0"/>
    </format>
    <format dxfId="53">
      <pivotArea field="1" type="button" dataOnly="0" labelOnly="1" outline="0" fieldPosition="0"/>
    </format>
    <format dxfId="54">
      <pivotArea field="3" type="button" dataOnly="0" labelOnly="1" outline="0" fieldPosition="0"/>
    </format>
    <format dxfId="55">
      <pivotArea dataOnly="0" labelOnly="1" offset="IV1:IV1" fieldPosition="0">
        <references count="1">
          <reference field="1" count="1">
            <x v="89"/>
          </reference>
        </references>
      </pivotArea>
    </format>
    <format dxfId="56">
      <pivotArea collapsedLevelsAreSubtotals="1" fieldPosition="0">
        <references count="1">
          <reference field="1" count="1" selected="0">
            <x v="89"/>
          </reference>
        </references>
      </pivotArea>
    </format>
    <format dxfId="57">
      <pivotArea dataOnly="0" labelOnly="1" offset="IV1:IV1" fieldPosition="0">
        <references count="1">
          <reference field="1" count="1">
            <x v="89"/>
          </reference>
        </references>
      </pivotArea>
    </format>
    <format dxfId="58">
      <pivotArea collapsedLevelsAreSubtotals="1" fieldPosition="0">
        <references count="1">
          <reference field="1" count="1" selected="0">
            <x v="89"/>
          </reference>
        </references>
      </pivotArea>
    </format>
    <format dxfId="59">
      <pivotArea type="all" dataOnly="0" outline="0" fieldPosition="0"/>
    </format>
    <format dxfId="60">
      <pivotArea type="all" dataOnly="0" outline="0" fieldPosition="0"/>
    </format>
    <format dxfId="61">
      <pivotArea collapsedLevelsAreSubtotals="1" fieldPosition="0">
        <references count="1">
          <reference field="1" count="1" selected="0">
            <x v="237"/>
          </reference>
        </references>
      </pivotArea>
    </format>
    <format dxfId="62">
      <pivotArea collapsedLevelsAreSubtotals="1" fieldPosition="0">
        <references count="1">
          <reference field="1" count="1" selected="0">
            <x v="237"/>
          </reference>
        </references>
      </pivotArea>
    </format>
    <format dxfId="63">
      <pivotArea collapsedLevelsAreSubtotals="1" fieldPosition="0">
        <references count="1">
          <reference field="1" count="1" selected="0">
            <x v="237"/>
          </reference>
        </references>
      </pivotArea>
    </format>
    <format dxfId="64">
      <pivotArea collapsedLevelsAreSubtotals="1" fieldPosition="0">
        <references count="1">
          <reference field="1" count="1" selected="0">
            <x v="237"/>
          </reference>
        </references>
      </pivotArea>
    </format>
    <format dxfId="65">
      <pivotArea collapsedLevelsAreSubtotals="1" fieldPosition="0">
        <references count="1">
          <reference field="1" count="1" selected="0">
            <x v="237"/>
          </reference>
        </references>
      </pivotArea>
    </format>
    <format dxfId="66">
      <pivotArea collapsedLevelsAreSubtotals="1" fieldPosition="0">
        <references count="1">
          <reference field="1" count="1" selected="0">
            <x v="237"/>
          </reference>
        </references>
      </pivotArea>
    </format>
  </formats>
  <pivotTableStyleInfo name="PivotStyleLight16" showRowHeaders="1" showColHeaders="1" showLastColumn="1"/>
  <filters count="1">
    <filter evalOrder="-1" fld="1" iMeasureFld="0" id="1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5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I3:I4" firstHeaderRow="1" firstDataRow="1" firstDataCol="0"/>
  <pivotFields count="11">
    <pivotField compact="0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compact="0" showAll="0">
      <items count="301">
        <item x="72"/>
        <item x="33"/>
        <item x="240"/>
        <item x="132"/>
        <item x="95"/>
        <item x="183"/>
        <item x="163"/>
        <item x="119"/>
        <item x="246"/>
        <item x="52"/>
        <item x="265"/>
        <item x="271"/>
        <item x="23"/>
        <item x="12"/>
        <item x="162"/>
        <item x="233"/>
        <item x="71"/>
        <item x="112"/>
        <item x="53"/>
        <item x="105"/>
        <item x="21"/>
        <item x="84"/>
        <item x="159"/>
        <item x="125"/>
        <item x="193"/>
        <item x="144"/>
        <item x="111"/>
        <item x="122"/>
        <item x="30"/>
        <item x="298"/>
        <item x="66"/>
        <item x="78"/>
        <item x="130"/>
        <item x="262"/>
        <item x="59"/>
        <item x="211"/>
        <item x="36"/>
        <item x="219"/>
        <item x="82"/>
        <item x="220"/>
        <item x="134"/>
        <item x="283"/>
        <item x="224"/>
        <item x="31"/>
        <item x="108"/>
        <item x="51"/>
        <item x="168"/>
        <item x="184"/>
        <item x="172"/>
        <item x="229"/>
        <item x="213"/>
        <item x="268"/>
        <item x="234"/>
        <item x="102"/>
        <item x="238"/>
        <item x="14"/>
        <item x="226"/>
        <item x="118"/>
        <item x="270"/>
        <item x="133"/>
        <item x="138"/>
        <item x="3"/>
        <item x="290"/>
        <item x="94"/>
        <item x="76"/>
        <item x="107"/>
        <item x="147"/>
        <item x="38"/>
        <item x="281"/>
        <item x="113"/>
        <item x="264"/>
        <item x="255"/>
        <item x="10"/>
        <item x="140"/>
        <item x="236"/>
        <item x="29"/>
        <item x="198"/>
        <item x="151"/>
        <item x="146"/>
        <item x="223"/>
        <item x="215"/>
        <item x="32"/>
        <item x="2"/>
        <item x="197"/>
        <item x="25"/>
        <item x="263"/>
        <item x="249"/>
        <item x="243"/>
        <item x="275"/>
        <item x="17"/>
        <item x="11"/>
        <item x="100"/>
        <item x="228"/>
        <item x="87"/>
        <item x="164"/>
        <item x="60"/>
        <item x="296"/>
        <item x="48"/>
        <item x="37"/>
        <item x="187"/>
        <item x="5"/>
        <item x="92"/>
        <item x="167"/>
        <item x="149"/>
        <item x="135"/>
        <item x="80"/>
        <item x="58"/>
        <item x="267"/>
        <item x="57"/>
        <item x="274"/>
        <item x="110"/>
        <item x="174"/>
        <item x="217"/>
        <item x="177"/>
        <item x="227"/>
        <item x="291"/>
        <item x="203"/>
        <item x="68"/>
        <item x="55"/>
        <item x="77"/>
        <item x="292"/>
        <item x="259"/>
        <item x="277"/>
        <item x="221"/>
        <item x="180"/>
        <item x="293"/>
        <item x="247"/>
        <item x="191"/>
        <item x="96"/>
        <item x="22"/>
        <item x="166"/>
        <item x="156"/>
        <item x="137"/>
        <item x="261"/>
        <item x="207"/>
        <item x="210"/>
        <item x="136"/>
        <item x="120"/>
        <item x="280"/>
        <item x="73"/>
        <item x="24"/>
        <item x="278"/>
        <item x="195"/>
        <item x="152"/>
        <item x="208"/>
        <item x="49"/>
        <item x="47"/>
        <item x="27"/>
        <item x="258"/>
        <item x="90"/>
        <item x="85"/>
        <item x="222"/>
        <item x="204"/>
        <item x="64"/>
        <item x="19"/>
        <item x="128"/>
        <item x="235"/>
        <item x="185"/>
        <item x="9"/>
        <item x="181"/>
        <item x="93"/>
        <item x="266"/>
        <item x="209"/>
        <item x="13"/>
        <item x="116"/>
        <item x="239"/>
        <item x="216"/>
        <item x="8"/>
        <item x="91"/>
        <item x="202"/>
        <item x="16"/>
        <item x="81"/>
        <item x="257"/>
        <item x="201"/>
        <item x="295"/>
        <item x="175"/>
        <item x="40"/>
        <item x="4"/>
        <item x="98"/>
        <item x="189"/>
        <item x="182"/>
        <item x="279"/>
        <item x="65"/>
        <item x="63"/>
        <item x="124"/>
        <item x="288"/>
        <item x="254"/>
        <item x="145"/>
        <item x="169"/>
        <item x="241"/>
        <item x="50"/>
        <item x="206"/>
        <item x="157"/>
        <item x="253"/>
        <item x="129"/>
        <item x="194"/>
        <item x="205"/>
        <item x="287"/>
        <item x="252"/>
        <item x="44"/>
        <item x="212"/>
        <item x="75"/>
        <item x="39"/>
        <item x="250"/>
        <item x="176"/>
        <item x="178"/>
        <item x="192"/>
        <item x="86"/>
        <item x="104"/>
        <item x="188"/>
        <item x="41"/>
        <item x="127"/>
        <item x="45"/>
        <item x="286"/>
        <item x="150"/>
        <item x="131"/>
        <item x="245"/>
        <item x="173"/>
        <item x="196"/>
        <item x="126"/>
        <item x="190"/>
        <item x="237"/>
        <item x="43"/>
        <item x="294"/>
        <item x="28"/>
        <item x="186"/>
        <item x="34"/>
        <item x="35"/>
        <item x="54"/>
        <item x="143"/>
        <item x="42"/>
        <item x="7"/>
        <item x="284"/>
        <item x="160"/>
        <item x="142"/>
        <item x="69"/>
        <item x="46"/>
        <item x="74"/>
        <item x="230"/>
        <item x="256"/>
        <item x="89"/>
        <item x="18"/>
        <item x="297"/>
        <item x="67"/>
        <item x="117"/>
        <item x="242"/>
        <item x="154"/>
        <item x="61"/>
        <item x="62"/>
        <item x="251"/>
        <item x="225"/>
        <item x="276"/>
        <item x="15"/>
        <item x="101"/>
        <item x="99"/>
        <item x="26"/>
        <item x="214"/>
        <item x="170"/>
        <item x="6"/>
        <item x="83"/>
        <item x="70"/>
        <item x="97"/>
        <item x="289"/>
        <item x="171"/>
        <item x="272"/>
        <item x="299"/>
        <item x="200"/>
        <item x="123"/>
        <item x="232"/>
        <item x="269"/>
        <item x="114"/>
        <item x="79"/>
        <item x="165"/>
        <item x="244"/>
        <item x="109"/>
        <item x="161"/>
        <item x="155"/>
        <item x="158"/>
        <item x="248"/>
        <item x="153"/>
        <item x="115"/>
        <item x="199"/>
        <item x="103"/>
        <item x="1"/>
        <item x="88"/>
        <item x="260"/>
        <item x="179"/>
        <item x="139"/>
        <item x="106"/>
        <item x="231"/>
        <item x="282"/>
        <item x="273"/>
        <item x="121"/>
        <item x="285"/>
        <item x="20"/>
        <item x="141"/>
        <item x="56"/>
        <item x="218"/>
        <item x="148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9">
        <item x="3"/>
        <item x="6"/>
        <item x="1"/>
        <item x="2"/>
        <item x="5"/>
        <item x="7"/>
        <item x="4"/>
        <item x="0"/>
        <item t="default"/>
      </items>
    </pivotField>
    <pivotField compact="0" showAll="0">
      <items count="6">
        <item x="4"/>
        <item x="0"/>
        <item x="2"/>
        <item x="1"/>
        <item x="3"/>
        <item t="default"/>
      </items>
    </pivotField>
    <pivotField compact="0" numFmtId="185" showAll="0">
      <items count="478">
        <item x="433"/>
        <item x="58"/>
        <item x="2"/>
        <item x="343"/>
        <item x="354"/>
        <item x="472"/>
        <item x="161"/>
        <item x="233"/>
        <item x="437"/>
        <item x="71"/>
        <item x="138"/>
        <item x="98"/>
        <item x="205"/>
        <item x="404"/>
        <item x="456"/>
        <item x="45"/>
        <item x="350"/>
        <item x="193"/>
        <item x="445"/>
        <item x="450"/>
        <item x="11"/>
        <item x="188"/>
        <item x="89"/>
        <item x="213"/>
        <item x="285"/>
        <item x="384"/>
        <item x="422"/>
        <item x="414"/>
        <item x="258"/>
        <item x="20"/>
        <item x="169"/>
        <item x="17"/>
        <item x="260"/>
        <item x="68"/>
        <item x="156"/>
        <item x="307"/>
        <item x="311"/>
        <item x="362"/>
        <item x="82"/>
        <item x="23"/>
        <item x="133"/>
        <item x="425"/>
        <item x="34"/>
        <item x="373"/>
        <item x="470"/>
        <item x="182"/>
        <item x="369"/>
        <item x="245"/>
        <item x="393"/>
        <item x="230"/>
        <item x="313"/>
        <item x="130"/>
        <item x="145"/>
        <item x="331"/>
        <item x="261"/>
        <item x="160"/>
        <item x="475"/>
        <item x="256"/>
        <item x="225"/>
        <item x="270"/>
        <item x="159"/>
        <item x="176"/>
        <item x="63"/>
        <item x="386"/>
        <item x="365"/>
        <item x="154"/>
        <item x="468"/>
        <item x="41"/>
        <item x="452"/>
        <item x="187"/>
        <item x="429"/>
        <item x="166"/>
        <item x="216"/>
        <item x="37"/>
        <item x="35"/>
        <item x="105"/>
        <item x="314"/>
        <item x="6"/>
        <item x="7"/>
        <item x="67"/>
        <item x="453"/>
        <item x="178"/>
        <item x="405"/>
        <item x="324"/>
        <item x="395"/>
        <item x="207"/>
        <item x="372"/>
        <item x="388"/>
        <item x="444"/>
        <item x="303"/>
        <item x="153"/>
        <item x="88"/>
        <item x="474"/>
        <item x="294"/>
        <item x="103"/>
        <item x="272"/>
        <item x="396"/>
        <item x="84"/>
        <item x="246"/>
        <item x="226"/>
        <item x="375"/>
        <item x="378"/>
        <item x="181"/>
        <item x="467"/>
        <item x="209"/>
        <item x="385"/>
        <item x="352"/>
        <item x="316"/>
        <item x="239"/>
        <item x="139"/>
        <item x="344"/>
        <item x="419"/>
        <item x="380"/>
        <item x="454"/>
        <item x="46"/>
        <item x="394"/>
        <item x="340"/>
        <item x="8"/>
        <item x="131"/>
        <item x="382"/>
        <item x="264"/>
        <item x="284"/>
        <item x="298"/>
        <item x="172"/>
        <item x="221"/>
        <item x="283"/>
        <item x="305"/>
        <item x="196"/>
        <item x="357"/>
        <item x="406"/>
        <item x="249"/>
        <item x="250"/>
        <item x="356"/>
        <item x="38"/>
        <item x="48"/>
        <item x="446"/>
        <item x="297"/>
        <item x="355"/>
        <item x="418"/>
        <item x="368"/>
        <item x="140"/>
        <item x="152"/>
        <item x="287"/>
        <item x="109"/>
        <item x="336"/>
        <item x="55"/>
        <item x="174"/>
        <item x="346"/>
        <item x="5"/>
        <item x="208"/>
        <item x="247"/>
        <item x="121"/>
        <item x="33"/>
        <item x="53"/>
        <item x="86"/>
        <item x="168"/>
        <item x="339"/>
        <item x="389"/>
        <item x="56"/>
        <item x="413"/>
        <item x="275"/>
        <item x="102"/>
        <item x="115"/>
        <item x="220"/>
        <item x="464"/>
        <item x="421"/>
        <item x="52"/>
        <item x="391"/>
        <item x="44"/>
        <item x="110"/>
        <item x="39"/>
        <item x="392"/>
        <item x="79"/>
        <item x="164"/>
        <item x="80"/>
        <item x="459"/>
        <item x="3"/>
        <item x="212"/>
        <item x="214"/>
        <item x="175"/>
        <item x="165"/>
        <item x="377"/>
        <item x="42"/>
        <item x="141"/>
        <item x="136"/>
        <item x="127"/>
        <item x="203"/>
        <item x="325"/>
        <item x="180"/>
        <item x="197"/>
        <item x="271"/>
        <item x="204"/>
        <item x="118"/>
        <item x="235"/>
        <item x="449"/>
        <item x="12"/>
        <item x="447"/>
        <item x="293"/>
        <item x="28"/>
        <item x="347"/>
        <item x="317"/>
        <item x="397"/>
        <item x="299"/>
        <item x="123"/>
        <item x="274"/>
        <item x="31"/>
        <item x="211"/>
        <item x="281"/>
        <item x="184"/>
        <item x="351"/>
        <item x="190"/>
        <item x="162"/>
        <item x="142"/>
        <item x="25"/>
        <item x="326"/>
        <item x="75"/>
        <item x="91"/>
        <item x="76"/>
        <item x="434"/>
        <item x="201"/>
        <item x="183"/>
        <item x="327"/>
        <item x="219"/>
        <item x="157"/>
        <item x="117"/>
        <item x="200"/>
        <item x="179"/>
        <item x="171"/>
        <item x="321"/>
        <item x="430"/>
        <item x="353"/>
        <item x="155"/>
        <item x="457"/>
        <item x="106"/>
        <item x="59"/>
        <item x="72"/>
        <item x="114"/>
        <item x="93"/>
        <item x="399"/>
        <item x="18"/>
        <item x="312"/>
        <item x="252"/>
        <item x="194"/>
        <item x="144"/>
        <item x="128"/>
        <item x="62"/>
        <item x="27"/>
        <item x="320"/>
        <item x="81"/>
        <item x="292"/>
        <item x="97"/>
        <item x="218"/>
        <item x="455"/>
        <item x="223"/>
        <item x="310"/>
        <item x="463"/>
        <item x="228"/>
        <item x="189"/>
        <item x="267"/>
        <item x="113"/>
        <item x="403"/>
        <item x="50"/>
        <item x="10"/>
        <item x="22"/>
        <item x="70"/>
        <item x="265"/>
        <item x="64"/>
        <item x="66"/>
        <item x="441"/>
        <item x="104"/>
        <item x="26"/>
        <item x="4"/>
        <item x="191"/>
        <item x="170"/>
        <item x="60"/>
        <item x="40"/>
        <item x="323"/>
        <item x="286"/>
        <item x="349"/>
        <item x="73"/>
        <item x="29"/>
        <item x="366"/>
        <item x="334"/>
        <item x="408"/>
        <item x="224"/>
        <item x="276"/>
        <item x="427"/>
        <item x="387"/>
        <item x="288"/>
        <item x="85"/>
        <item x="158"/>
        <item x="348"/>
        <item x="329"/>
        <item x="295"/>
        <item x="177"/>
        <item x="16"/>
        <item x="398"/>
        <item x="1"/>
        <item x="390"/>
        <item x="146"/>
        <item x="439"/>
        <item x="90"/>
        <item x="54"/>
        <item x="410"/>
        <item x="15"/>
        <item x="291"/>
        <item x="240"/>
        <item x="77"/>
        <item x="119"/>
        <item x="51"/>
        <item x="215"/>
        <item x="92"/>
        <item x="337"/>
        <item x="374"/>
        <item x="116"/>
        <item x="100"/>
        <item x="424"/>
        <item x="315"/>
        <item x="217"/>
        <item x="259"/>
        <item x="473"/>
        <item x="436"/>
        <item x="243"/>
        <item x="242"/>
        <item x="24"/>
        <item x="277"/>
        <item x="9"/>
        <item x="151"/>
        <item x="32"/>
        <item x="120"/>
        <item x="282"/>
        <item x="129"/>
        <item x="173"/>
        <item x="47"/>
        <item x="255"/>
        <item x="167"/>
        <item x="469"/>
        <item x="411"/>
        <item x="94"/>
        <item x="290"/>
        <item x="198"/>
        <item x="319"/>
        <item x="101"/>
        <item x="186"/>
        <item x="134"/>
        <item x="451"/>
        <item x="438"/>
        <item x="206"/>
        <item x="318"/>
        <item x="280"/>
        <item x="19"/>
        <item x="359"/>
        <item x="241"/>
        <item x="262"/>
        <item x="125"/>
        <item x="263"/>
        <item x="448"/>
        <item x="435"/>
        <item x="432"/>
        <item x="126"/>
        <item x="278"/>
        <item x="0"/>
        <item x="423"/>
        <item x="364"/>
        <item x="257"/>
        <item x="83"/>
        <item x="309"/>
        <item x="192"/>
        <item x="13"/>
        <item x="308"/>
        <item x="253"/>
        <item x="99"/>
        <item x="458"/>
        <item x="333"/>
        <item x="476"/>
        <item x="111"/>
        <item x="431"/>
        <item x="379"/>
        <item x="471"/>
        <item x="440"/>
        <item x="112"/>
        <item x="237"/>
        <item x="335"/>
        <item x="202"/>
        <item x="210"/>
        <item x="238"/>
        <item x="149"/>
        <item x="302"/>
        <item x="36"/>
        <item x="279"/>
        <item x="304"/>
        <item x="199"/>
        <item x="415"/>
        <item x="132"/>
        <item x="96"/>
        <item x="412"/>
        <item x="360"/>
        <item x="248"/>
        <item x="147"/>
        <item x="74"/>
        <item x="417"/>
        <item x="371"/>
        <item x="401"/>
        <item x="185"/>
        <item x="232"/>
        <item x="466"/>
        <item x="332"/>
        <item x="163"/>
        <item x="234"/>
        <item x="269"/>
        <item x="289"/>
        <item x="78"/>
        <item x="370"/>
        <item x="30"/>
        <item x="122"/>
        <item x="407"/>
        <item x="341"/>
        <item x="328"/>
        <item x="61"/>
        <item x="358"/>
        <item x="43"/>
        <item x="222"/>
        <item x="87"/>
        <item x="409"/>
        <item x="108"/>
        <item x="69"/>
        <item x="342"/>
        <item x="400"/>
        <item x="195"/>
        <item x="57"/>
        <item x="251"/>
        <item x="229"/>
        <item x="460"/>
        <item x="49"/>
        <item x="330"/>
        <item x="124"/>
        <item x="443"/>
        <item x="296"/>
        <item x="21"/>
        <item x="442"/>
        <item x="95"/>
        <item x="268"/>
        <item x="266"/>
        <item x="254"/>
        <item x="306"/>
        <item x="376"/>
        <item x="462"/>
        <item x="461"/>
        <item x="244"/>
        <item x="135"/>
        <item x="150"/>
        <item x="236"/>
        <item x="65"/>
        <item x="428"/>
        <item x="143"/>
        <item x="426"/>
        <item x="383"/>
        <item x="137"/>
        <item x="148"/>
        <item x="14"/>
        <item x="361"/>
        <item x="273"/>
        <item x="338"/>
        <item x="416"/>
        <item x="345"/>
        <item x="465"/>
        <item x="322"/>
        <item x="367"/>
        <item x="301"/>
        <item x="420"/>
        <item x="402"/>
        <item x="363"/>
        <item x="231"/>
        <item x="381"/>
        <item x="300"/>
        <item x="227"/>
        <item x="107"/>
        <item t="default"/>
      </items>
    </pivotField>
    <pivotField compact="0" showAll="0">
      <items count="12">
        <item x="2"/>
        <item x="4"/>
        <item x="5"/>
        <item x="3"/>
        <item x="7"/>
        <item x="9"/>
        <item x="1"/>
        <item x="6"/>
        <item x="0"/>
        <item x="10"/>
        <item x="8"/>
        <item t="default"/>
      </items>
    </pivotField>
    <pivotField compact="0" showAll="0">
      <items count="111">
        <item x="66"/>
        <item x="103"/>
        <item x="100"/>
        <item x="12"/>
        <item x="46"/>
        <item x="95"/>
        <item x="104"/>
        <item x="96"/>
        <item x="18"/>
        <item x="38"/>
        <item x="43"/>
        <item x="48"/>
        <item x="55"/>
        <item x="35"/>
        <item x="24"/>
        <item x="84"/>
        <item x="50"/>
        <item x="60"/>
        <item x="29"/>
        <item x="92"/>
        <item x="90"/>
        <item x="68"/>
        <item x="108"/>
        <item x="67"/>
        <item x="62"/>
        <item x="11"/>
        <item x="52"/>
        <item x="74"/>
        <item x="98"/>
        <item x="73"/>
        <item x="16"/>
        <item x="79"/>
        <item x="59"/>
        <item x="37"/>
        <item x="76"/>
        <item x="71"/>
        <item x="8"/>
        <item x="97"/>
        <item x="63"/>
        <item x="58"/>
        <item x="39"/>
        <item x="13"/>
        <item x="1"/>
        <item x="54"/>
        <item x="93"/>
        <item x="23"/>
        <item x="101"/>
        <item x="32"/>
        <item x="4"/>
        <item x="9"/>
        <item x="69"/>
        <item x="99"/>
        <item x="88"/>
        <item x="105"/>
        <item x="61"/>
        <item x="21"/>
        <item x="15"/>
        <item x="44"/>
        <item x="65"/>
        <item x="82"/>
        <item x="70"/>
        <item x="51"/>
        <item x="20"/>
        <item x="83"/>
        <item x="25"/>
        <item x="72"/>
        <item x="22"/>
        <item x="0"/>
        <item x="75"/>
        <item x="34"/>
        <item x="85"/>
        <item x="3"/>
        <item x="31"/>
        <item x="40"/>
        <item x="64"/>
        <item x="42"/>
        <item x="26"/>
        <item x="5"/>
        <item x="41"/>
        <item x="102"/>
        <item x="30"/>
        <item x="89"/>
        <item x="86"/>
        <item x="78"/>
        <item x="7"/>
        <item x="80"/>
        <item x="106"/>
        <item x="87"/>
        <item x="53"/>
        <item x="56"/>
        <item x="91"/>
        <item x="6"/>
        <item x="28"/>
        <item x="33"/>
        <item x="45"/>
        <item x="81"/>
        <item x="77"/>
        <item x="94"/>
        <item x="27"/>
        <item x="19"/>
        <item x="47"/>
        <item x="14"/>
        <item x="17"/>
        <item x="57"/>
        <item x="10"/>
        <item x="36"/>
        <item x="109"/>
        <item x="49"/>
        <item x="107"/>
        <item x="2"/>
        <item t="default"/>
      </items>
    </pivotField>
    <pivotField dataField="1" compact="0" numFmtId="184" showAll="0">
      <items count="100">
        <item x="87"/>
        <item x="97"/>
        <item x="86"/>
        <item x="81"/>
        <item x="38"/>
        <item x="58"/>
        <item x="44"/>
        <item x="18"/>
        <item x="55"/>
        <item x="75"/>
        <item x="14"/>
        <item x="34"/>
        <item x="29"/>
        <item x="19"/>
        <item x="47"/>
        <item x="4"/>
        <item x="60"/>
        <item x="13"/>
        <item x="1"/>
        <item x="10"/>
        <item x="32"/>
        <item x="51"/>
        <item x="22"/>
        <item x="88"/>
        <item x="62"/>
        <item x="2"/>
        <item x="73"/>
        <item x="74"/>
        <item x="90"/>
        <item x="71"/>
        <item x="26"/>
        <item x="30"/>
        <item x="64"/>
        <item x="23"/>
        <item x="8"/>
        <item x="35"/>
        <item x="52"/>
        <item x="68"/>
        <item x="15"/>
        <item x="65"/>
        <item x="93"/>
        <item x="45"/>
        <item x="16"/>
        <item x="3"/>
        <item x="21"/>
        <item x="20"/>
        <item x="83"/>
        <item x="63"/>
        <item x="9"/>
        <item x="12"/>
        <item x="48"/>
        <item x="66"/>
        <item x="24"/>
        <item x="17"/>
        <item x="91"/>
        <item x="7"/>
        <item x="41"/>
        <item x="5"/>
        <item x="50"/>
        <item x="49"/>
        <item x="77"/>
        <item x="84"/>
        <item x="43"/>
        <item x="37"/>
        <item x="78"/>
        <item x="59"/>
        <item x="79"/>
        <item x="36"/>
        <item x="28"/>
        <item x="11"/>
        <item x="46"/>
        <item x="69"/>
        <item x="25"/>
        <item x="31"/>
        <item x="6"/>
        <item x="57"/>
        <item x="67"/>
        <item x="39"/>
        <item x="33"/>
        <item x="70"/>
        <item x="95"/>
        <item x="80"/>
        <item x="85"/>
        <item x="53"/>
        <item x="56"/>
        <item x="92"/>
        <item x="89"/>
        <item x="27"/>
        <item x="61"/>
        <item x="76"/>
        <item x="96"/>
        <item x="54"/>
        <item x="98"/>
        <item x="82"/>
        <item x="42"/>
        <item x="94"/>
        <item x="0"/>
        <item x="40"/>
        <item x="72"/>
        <item t="default"/>
      </items>
    </pivotField>
    <pivotField compact="0" numFmtId="182" showAll="0">
      <items count="52">
        <item x="11"/>
        <item x="24"/>
        <item x="50"/>
        <item x="17"/>
        <item x="1"/>
        <item x="47"/>
        <item x="31"/>
        <item x="29"/>
        <item x="49"/>
        <item x="38"/>
        <item x="27"/>
        <item x="37"/>
        <item x="5"/>
        <item x="10"/>
        <item x="45"/>
        <item x="3"/>
        <item x="21"/>
        <item x="32"/>
        <item x="26"/>
        <item x="28"/>
        <item x="12"/>
        <item x="16"/>
        <item x="2"/>
        <item x="44"/>
        <item x="40"/>
        <item x="9"/>
        <item x="33"/>
        <item x="8"/>
        <item x="39"/>
        <item x="34"/>
        <item x="42"/>
        <item x="18"/>
        <item x="4"/>
        <item x="35"/>
        <item x="7"/>
        <item x="36"/>
        <item x="30"/>
        <item x="14"/>
        <item x="6"/>
        <item x="15"/>
        <item x="22"/>
        <item x="43"/>
        <item x="20"/>
        <item x="13"/>
        <item x="48"/>
        <item x="25"/>
        <item x="46"/>
        <item x="41"/>
        <item x="23"/>
        <item x="19"/>
        <item x="0"/>
        <item t="default"/>
      </items>
    </pivotField>
    <pivotField compact="0" showAll="0">
      <items count="3">
        <item x="0"/>
        <item x="1"/>
        <item t="default"/>
      </items>
    </pivotField>
  </pivotFields>
  <dataFields count="1">
    <dataField name="Avg  Salary" fld="8" subtotal="average" baseField="0" baseItem="0"/>
  </dataFields>
  <formats count="6">
    <format dxfId="67">
      <pivotArea collapsedLevelsAreSubtotals="1" fieldPosition="0"/>
    </format>
    <format dxfId="68">
      <pivotArea collapsedLevelsAreSubtotals="1" fieldPosition="0"/>
    </format>
    <format dxfId="69">
      <pivotArea collapsedLevelsAreSubtotals="1" fieldPosition="0"/>
    </format>
    <format dxfId="70">
      <pivotArea collapsedLevelsAreSubtotals="1" fieldPosition="0"/>
    </format>
    <format dxfId="71">
      <pivotArea collapsedLevelsAreSubtotals="1" fieldPosition="0"/>
    </format>
    <format dxfId="72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6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K3:K4" firstHeaderRow="1" firstDataRow="1" firstDataCol="0"/>
  <pivotFields count="11">
    <pivotField compact="0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compact="0" showAll="0">
      <items count="301">
        <item x="72"/>
        <item x="33"/>
        <item x="240"/>
        <item x="132"/>
        <item x="95"/>
        <item x="183"/>
        <item x="163"/>
        <item x="119"/>
        <item x="246"/>
        <item x="52"/>
        <item x="265"/>
        <item x="271"/>
        <item x="23"/>
        <item x="12"/>
        <item x="162"/>
        <item x="233"/>
        <item x="71"/>
        <item x="112"/>
        <item x="53"/>
        <item x="105"/>
        <item x="21"/>
        <item x="84"/>
        <item x="159"/>
        <item x="125"/>
        <item x="193"/>
        <item x="144"/>
        <item x="111"/>
        <item x="122"/>
        <item x="30"/>
        <item x="298"/>
        <item x="66"/>
        <item x="78"/>
        <item x="130"/>
        <item x="262"/>
        <item x="59"/>
        <item x="211"/>
        <item x="36"/>
        <item x="219"/>
        <item x="82"/>
        <item x="220"/>
        <item x="134"/>
        <item x="283"/>
        <item x="224"/>
        <item x="31"/>
        <item x="108"/>
        <item x="51"/>
        <item x="168"/>
        <item x="184"/>
        <item x="172"/>
        <item x="229"/>
        <item x="213"/>
        <item x="268"/>
        <item x="234"/>
        <item x="102"/>
        <item x="238"/>
        <item x="14"/>
        <item x="226"/>
        <item x="118"/>
        <item x="270"/>
        <item x="133"/>
        <item x="138"/>
        <item x="3"/>
        <item x="290"/>
        <item x="94"/>
        <item x="76"/>
        <item x="107"/>
        <item x="147"/>
        <item x="38"/>
        <item x="281"/>
        <item x="113"/>
        <item x="264"/>
        <item x="255"/>
        <item x="10"/>
        <item x="140"/>
        <item x="236"/>
        <item x="29"/>
        <item x="198"/>
        <item x="151"/>
        <item x="146"/>
        <item x="223"/>
        <item x="215"/>
        <item x="32"/>
        <item x="2"/>
        <item x="197"/>
        <item x="25"/>
        <item x="263"/>
        <item x="249"/>
        <item x="243"/>
        <item x="275"/>
        <item x="17"/>
        <item x="11"/>
        <item x="100"/>
        <item x="228"/>
        <item x="87"/>
        <item x="164"/>
        <item x="60"/>
        <item x="296"/>
        <item x="48"/>
        <item x="37"/>
        <item x="187"/>
        <item x="5"/>
        <item x="92"/>
        <item x="167"/>
        <item x="149"/>
        <item x="135"/>
        <item x="80"/>
        <item x="58"/>
        <item x="267"/>
        <item x="57"/>
        <item x="274"/>
        <item x="110"/>
        <item x="174"/>
        <item x="217"/>
        <item x="177"/>
        <item x="227"/>
        <item x="291"/>
        <item x="203"/>
        <item x="68"/>
        <item x="55"/>
        <item x="77"/>
        <item x="292"/>
        <item x="259"/>
        <item x="277"/>
        <item x="221"/>
        <item x="180"/>
        <item x="293"/>
        <item x="247"/>
        <item x="191"/>
        <item x="96"/>
        <item x="22"/>
        <item x="166"/>
        <item x="156"/>
        <item x="137"/>
        <item x="261"/>
        <item x="207"/>
        <item x="210"/>
        <item x="136"/>
        <item x="120"/>
        <item x="280"/>
        <item x="73"/>
        <item x="24"/>
        <item x="278"/>
        <item x="195"/>
        <item x="152"/>
        <item x="208"/>
        <item x="49"/>
        <item x="47"/>
        <item x="27"/>
        <item x="258"/>
        <item x="90"/>
        <item x="85"/>
        <item x="222"/>
        <item x="204"/>
        <item x="64"/>
        <item x="19"/>
        <item x="128"/>
        <item x="235"/>
        <item x="185"/>
        <item x="9"/>
        <item x="181"/>
        <item x="93"/>
        <item x="266"/>
        <item x="209"/>
        <item x="13"/>
        <item x="116"/>
        <item x="239"/>
        <item x="216"/>
        <item x="8"/>
        <item x="91"/>
        <item x="202"/>
        <item x="16"/>
        <item x="81"/>
        <item x="257"/>
        <item x="201"/>
        <item x="295"/>
        <item x="175"/>
        <item x="40"/>
        <item x="4"/>
        <item x="98"/>
        <item x="189"/>
        <item x="182"/>
        <item x="279"/>
        <item x="65"/>
        <item x="63"/>
        <item x="124"/>
        <item x="288"/>
        <item x="254"/>
        <item x="145"/>
        <item x="169"/>
        <item x="241"/>
        <item x="50"/>
        <item x="206"/>
        <item x="157"/>
        <item x="253"/>
        <item x="129"/>
        <item x="194"/>
        <item x="205"/>
        <item x="287"/>
        <item x="252"/>
        <item x="44"/>
        <item x="212"/>
        <item x="75"/>
        <item x="39"/>
        <item x="250"/>
        <item x="176"/>
        <item x="178"/>
        <item x="192"/>
        <item x="86"/>
        <item x="104"/>
        <item x="188"/>
        <item x="41"/>
        <item x="127"/>
        <item x="45"/>
        <item x="286"/>
        <item x="150"/>
        <item x="131"/>
        <item x="245"/>
        <item x="173"/>
        <item x="196"/>
        <item x="126"/>
        <item x="190"/>
        <item x="237"/>
        <item x="43"/>
        <item x="294"/>
        <item x="28"/>
        <item x="186"/>
        <item x="34"/>
        <item x="35"/>
        <item x="54"/>
        <item x="143"/>
        <item x="42"/>
        <item x="7"/>
        <item x="284"/>
        <item x="160"/>
        <item x="142"/>
        <item x="69"/>
        <item x="46"/>
        <item x="74"/>
        <item x="230"/>
        <item x="256"/>
        <item x="89"/>
        <item x="18"/>
        <item x="297"/>
        <item x="67"/>
        <item x="117"/>
        <item x="242"/>
        <item x="154"/>
        <item x="61"/>
        <item x="62"/>
        <item x="251"/>
        <item x="225"/>
        <item x="276"/>
        <item x="15"/>
        <item x="101"/>
        <item x="99"/>
        <item x="26"/>
        <item x="214"/>
        <item x="170"/>
        <item x="6"/>
        <item x="83"/>
        <item x="70"/>
        <item x="97"/>
        <item x="289"/>
        <item x="171"/>
        <item x="272"/>
        <item x="299"/>
        <item x="200"/>
        <item x="123"/>
        <item x="232"/>
        <item x="269"/>
        <item x="114"/>
        <item x="79"/>
        <item x="165"/>
        <item x="244"/>
        <item x="109"/>
        <item x="161"/>
        <item x="155"/>
        <item x="158"/>
        <item x="248"/>
        <item x="153"/>
        <item x="115"/>
        <item x="199"/>
        <item x="103"/>
        <item x="1"/>
        <item x="88"/>
        <item x="260"/>
        <item x="179"/>
        <item x="139"/>
        <item x="106"/>
        <item x="231"/>
        <item x="282"/>
        <item x="273"/>
        <item x="121"/>
        <item x="285"/>
        <item x="20"/>
        <item x="141"/>
        <item x="56"/>
        <item x="218"/>
        <item x="148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9">
        <item x="3"/>
        <item x="6"/>
        <item x="1"/>
        <item x="2"/>
        <item x="5"/>
        <item x="7"/>
        <item x="4"/>
        <item x="0"/>
        <item t="default"/>
      </items>
    </pivotField>
    <pivotField compact="0" showAll="0">
      <items count="6">
        <item x="4"/>
        <item x="0"/>
        <item x="2"/>
        <item x="1"/>
        <item x="3"/>
        <item t="default"/>
      </items>
    </pivotField>
    <pivotField compact="0" numFmtId="185" showAll="0">
      <items count="478">
        <item x="433"/>
        <item x="58"/>
        <item x="2"/>
        <item x="343"/>
        <item x="354"/>
        <item x="472"/>
        <item x="161"/>
        <item x="233"/>
        <item x="437"/>
        <item x="71"/>
        <item x="138"/>
        <item x="98"/>
        <item x="205"/>
        <item x="404"/>
        <item x="456"/>
        <item x="45"/>
        <item x="350"/>
        <item x="193"/>
        <item x="445"/>
        <item x="450"/>
        <item x="11"/>
        <item x="188"/>
        <item x="89"/>
        <item x="213"/>
        <item x="285"/>
        <item x="384"/>
        <item x="422"/>
        <item x="414"/>
        <item x="258"/>
        <item x="20"/>
        <item x="169"/>
        <item x="17"/>
        <item x="260"/>
        <item x="68"/>
        <item x="156"/>
        <item x="307"/>
        <item x="311"/>
        <item x="362"/>
        <item x="82"/>
        <item x="23"/>
        <item x="133"/>
        <item x="425"/>
        <item x="34"/>
        <item x="373"/>
        <item x="470"/>
        <item x="182"/>
        <item x="369"/>
        <item x="245"/>
        <item x="393"/>
        <item x="230"/>
        <item x="313"/>
        <item x="130"/>
        <item x="145"/>
        <item x="331"/>
        <item x="261"/>
        <item x="160"/>
        <item x="475"/>
        <item x="256"/>
        <item x="225"/>
        <item x="270"/>
        <item x="159"/>
        <item x="176"/>
        <item x="63"/>
        <item x="386"/>
        <item x="365"/>
        <item x="154"/>
        <item x="468"/>
        <item x="41"/>
        <item x="452"/>
        <item x="187"/>
        <item x="429"/>
        <item x="166"/>
        <item x="216"/>
        <item x="37"/>
        <item x="35"/>
        <item x="105"/>
        <item x="314"/>
        <item x="6"/>
        <item x="7"/>
        <item x="67"/>
        <item x="453"/>
        <item x="178"/>
        <item x="405"/>
        <item x="324"/>
        <item x="395"/>
        <item x="207"/>
        <item x="372"/>
        <item x="388"/>
        <item x="444"/>
        <item x="303"/>
        <item x="153"/>
        <item x="88"/>
        <item x="474"/>
        <item x="294"/>
        <item x="103"/>
        <item x="272"/>
        <item x="396"/>
        <item x="84"/>
        <item x="246"/>
        <item x="226"/>
        <item x="375"/>
        <item x="378"/>
        <item x="181"/>
        <item x="467"/>
        <item x="209"/>
        <item x="385"/>
        <item x="352"/>
        <item x="316"/>
        <item x="239"/>
        <item x="139"/>
        <item x="344"/>
        <item x="419"/>
        <item x="380"/>
        <item x="454"/>
        <item x="46"/>
        <item x="394"/>
        <item x="340"/>
        <item x="8"/>
        <item x="131"/>
        <item x="382"/>
        <item x="264"/>
        <item x="284"/>
        <item x="298"/>
        <item x="172"/>
        <item x="221"/>
        <item x="283"/>
        <item x="305"/>
        <item x="196"/>
        <item x="357"/>
        <item x="406"/>
        <item x="249"/>
        <item x="250"/>
        <item x="356"/>
        <item x="38"/>
        <item x="48"/>
        <item x="446"/>
        <item x="297"/>
        <item x="355"/>
        <item x="418"/>
        <item x="368"/>
        <item x="140"/>
        <item x="152"/>
        <item x="287"/>
        <item x="109"/>
        <item x="336"/>
        <item x="55"/>
        <item x="174"/>
        <item x="346"/>
        <item x="5"/>
        <item x="208"/>
        <item x="247"/>
        <item x="121"/>
        <item x="33"/>
        <item x="53"/>
        <item x="86"/>
        <item x="168"/>
        <item x="339"/>
        <item x="389"/>
        <item x="56"/>
        <item x="413"/>
        <item x="275"/>
        <item x="102"/>
        <item x="115"/>
        <item x="220"/>
        <item x="464"/>
        <item x="421"/>
        <item x="52"/>
        <item x="391"/>
        <item x="44"/>
        <item x="110"/>
        <item x="39"/>
        <item x="392"/>
        <item x="79"/>
        <item x="164"/>
        <item x="80"/>
        <item x="459"/>
        <item x="3"/>
        <item x="212"/>
        <item x="214"/>
        <item x="175"/>
        <item x="165"/>
        <item x="377"/>
        <item x="42"/>
        <item x="141"/>
        <item x="136"/>
        <item x="127"/>
        <item x="203"/>
        <item x="325"/>
        <item x="180"/>
        <item x="197"/>
        <item x="271"/>
        <item x="204"/>
        <item x="118"/>
        <item x="235"/>
        <item x="449"/>
        <item x="12"/>
        <item x="447"/>
        <item x="293"/>
        <item x="28"/>
        <item x="347"/>
        <item x="317"/>
        <item x="397"/>
        <item x="299"/>
        <item x="123"/>
        <item x="274"/>
        <item x="31"/>
        <item x="211"/>
        <item x="281"/>
        <item x="184"/>
        <item x="351"/>
        <item x="190"/>
        <item x="162"/>
        <item x="142"/>
        <item x="25"/>
        <item x="326"/>
        <item x="75"/>
        <item x="91"/>
        <item x="76"/>
        <item x="434"/>
        <item x="201"/>
        <item x="183"/>
        <item x="327"/>
        <item x="219"/>
        <item x="157"/>
        <item x="117"/>
        <item x="200"/>
        <item x="179"/>
        <item x="171"/>
        <item x="321"/>
        <item x="430"/>
        <item x="353"/>
        <item x="155"/>
        <item x="457"/>
        <item x="106"/>
        <item x="59"/>
        <item x="72"/>
        <item x="114"/>
        <item x="93"/>
        <item x="399"/>
        <item x="18"/>
        <item x="312"/>
        <item x="252"/>
        <item x="194"/>
        <item x="144"/>
        <item x="128"/>
        <item x="62"/>
        <item x="27"/>
        <item x="320"/>
        <item x="81"/>
        <item x="292"/>
        <item x="97"/>
        <item x="218"/>
        <item x="455"/>
        <item x="223"/>
        <item x="310"/>
        <item x="463"/>
        <item x="228"/>
        <item x="189"/>
        <item x="267"/>
        <item x="113"/>
        <item x="403"/>
        <item x="50"/>
        <item x="10"/>
        <item x="22"/>
        <item x="70"/>
        <item x="265"/>
        <item x="64"/>
        <item x="66"/>
        <item x="441"/>
        <item x="104"/>
        <item x="26"/>
        <item x="4"/>
        <item x="191"/>
        <item x="170"/>
        <item x="60"/>
        <item x="40"/>
        <item x="323"/>
        <item x="286"/>
        <item x="349"/>
        <item x="73"/>
        <item x="29"/>
        <item x="366"/>
        <item x="334"/>
        <item x="408"/>
        <item x="224"/>
        <item x="276"/>
        <item x="427"/>
        <item x="387"/>
        <item x="288"/>
        <item x="85"/>
        <item x="158"/>
        <item x="348"/>
        <item x="329"/>
        <item x="295"/>
        <item x="177"/>
        <item x="16"/>
        <item x="398"/>
        <item x="1"/>
        <item x="390"/>
        <item x="146"/>
        <item x="439"/>
        <item x="90"/>
        <item x="54"/>
        <item x="410"/>
        <item x="15"/>
        <item x="291"/>
        <item x="240"/>
        <item x="77"/>
        <item x="119"/>
        <item x="51"/>
        <item x="215"/>
        <item x="92"/>
        <item x="337"/>
        <item x="374"/>
        <item x="116"/>
        <item x="100"/>
        <item x="424"/>
        <item x="315"/>
        <item x="217"/>
        <item x="259"/>
        <item x="473"/>
        <item x="436"/>
        <item x="243"/>
        <item x="242"/>
        <item x="24"/>
        <item x="277"/>
        <item x="9"/>
        <item x="151"/>
        <item x="32"/>
        <item x="120"/>
        <item x="282"/>
        <item x="129"/>
        <item x="173"/>
        <item x="47"/>
        <item x="255"/>
        <item x="167"/>
        <item x="469"/>
        <item x="411"/>
        <item x="94"/>
        <item x="290"/>
        <item x="198"/>
        <item x="319"/>
        <item x="101"/>
        <item x="186"/>
        <item x="134"/>
        <item x="451"/>
        <item x="438"/>
        <item x="206"/>
        <item x="318"/>
        <item x="280"/>
        <item x="19"/>
        <item x="359"/>
        <item x="241"/>
        <item x="262"/>
        <item x="125"/>
        <item x="263"/>
        <item x="448"/>
        <item x="435"/>
        <item x="432"/>
        <item x="126"/>
        <item x="278"/>
        <item x="0"/>
        <item x="423"/>
        <item x="364"/>
        <item x="257"/>
        <item x="83"/>
        <item x="309"/>
        <item x="192"/>
        <item x="13"/>
        <item x="308"/>
        <item x="253"/>
        <item x="99"/>
        <item x="458"/>
        <item x="333"/>
        <item x="476"/>
        <item x="111"/>
        <item x="431"/>
        <item x="379"/>
        <item x="471"/>
        <item x="440"/>
        <item x="112"/>
        <item x="237"/>
        <item x="335"/>
        <item x="202"/>
        <item x="210"/>
        <item x="238"/>
        <item x="149"/>
        <item x="302"/>
        <item x="36"/>
        <item x="279"/>
        <item x="304"/>
        <item x="199"/>
        <item x="415"/>
        <item x="132"/>
        <item x="96"/>
        <item x="412"/>
        <item x="360"/>
        <item x="248"/>
        <item x="147"/>
        <item x="74"/>
        <item x="417"/>
        <item x="371"/>
        <item x="401"/>
        <item x="185"/>
        <item x="232"/>
        <item x="466"/>
        <item x="332"/>
        <item x="163"/>
        <item x="234"/>
        <item x="269"/>
        <item x="289"/>
        <item x="78"/>
        <item x="370"/>
        <item x="30"/>
        <item x="122"/>
        <item x="407"/>
        <item x="341"/>
        <item x="328"/>
        <item x="61"/>
        <item x="358"/>
        <item x="43"/>
        <item x="222"/>
        <item x="87"/>
        <item x="409"/>
        <item x="108"/>
        <item x="69"/>
        <item x="342"/>
        <item x="400"/>
        <item x="195"/>
        <item x="57"/>
        <item x="251"/>
        <item x="229"/>
        <item x="460"/>
        <item x="49"/>
        <item x="330"/>
        <item x="124"/>
        <item x="443"/>
        <item x="296"/>
        <item x="21"/>
        <item x="442"/>
        <item x="95"/>
        <item x="268"/>
        <item x="266"/>
        <item x="254"/>
        <item x="306"/>
        <item x="376"/>
        <item x="462"/>
        <item x="461"/>
        <item x="244"/>
        <item x="135"/>
        <item x="150"/>
        <item x="236"/>
        <item x="65"/>
        <item x="428"/>
        <item x="143"/>
        <item x="426"/>
        <item x="383"/>
        <item x="137"/>
        <item x="148"/>
        <item x="14"/>
        <item x="361"/>
        <item x="273"/>
        <item x="338"/>
        <item x="416"/>
        <item x="345"/>
        <item x="465"/>
        <item x="322"/>
        <item x="367"/>
        <item x="301"/>
        <item x="420"/>
        <item x="402"/>
        <item x="363"/>
        <item x="231"/>
        <item x="381"/>
        <item x="300"/>
        <item x="227"/>
        <item x="107"/>
        <item t="default"/>
      </items>
    </pivotField>
    <pivotField compact="0" showAll="0">
      <items count="12">
        <item x="2"/>
        <item x="4"/>
        <item x="5"/>
        <item x="3"/>
        <item x="7"/>
        <item x="9"/>
        <item x="1"/>
        <item x="6"/>
        <item x="0"/>
        <item x="10"/>
        <item x="8"/>
        <item t="default"/>
      </items>
    </pivotField>
    <pivotField dataField="1" compact="0" showAll="0">
      <items count="111">
        <item x="66"/>
        <item x="103"/>
        <item x="100"/>
        <item x="12"/>
        <item x="46"/>
        <item x="95"/>
        <item x="104"/>
        <item x="96"/>
        <item x="18"/>
        <item x="38"/>
        <item x="43"/>
        <item x="48"/>
        <item x="55"/>
        <item x="35"/>
        <item x="24"/>
        <item x="84"/>
        <item x="50"/>
        <item x="60"/>
        <item x="29"/>
        <item x="92"/>
        <item x="90"/>
        <item x="68"/>
        <item x="108"/>
        <item x="67"/>
        <item x="62"/>
        <item x="11"/>
        <item x="52"/>
        <item x="74"/>
        <item x="98"/>
        <item x="73"/>
        <item x="16"/>
        <item x="79"/>
        <item x="59"/>
        <item x="37"/>
        <item x="76"/>
        <item x="71"/>
        <item x="8"/>
        <item x="97"/>
        <item x="63"/>
        <item x="58"/>
        <item x="39"/>
        <item x="13"/>
        <item x="1"/>
        <item x="54"/>
        <item x="93"/>
        <item x="23"/>
        <item x="101"/>
        <item x="32"/>
        <item x="4"/>
        <item x="9"/>
        <item x="69"/>
        <item x="99"/>
        <item x="88"/>
        <item x="105"/>
        <item x="61"/>
        <item x="21"/>
        <item x="15"/>
        <item x="44"/>
        <item x="65"/>
        <item x="82"/>
        <item x="70"/>
        <item x="51"/>
        <item x="20"/>
        <item x="83"/>
        <item x="25"/>
        <item x="72"/>
        <item x="22"/>
        <item x="0"/>
        <item x="75"/>
        <item x="34"/>
        <item x="85"/>
        <item x="3"/>
        <item x="31"/>
        <item x="40"/>
        <item x="64"/>
        <item x="42"/>
        <item x="26"/>
        <item x="5"/>
        <item x="41"/>
        <item x="102"/>
        <item x="30"/>
        <item x="89"/>
        <item x="86"/>
        <item x="78"/>
        <item x="7"/>
        <item x="80"/>
        <item x="106"/>
        <item x="87"/>
        <item x="53"/>
        <item x="56"/>
        <item x="91"/>
        <item x="6"/>
        <item x="28"/>
        <item x="33"/>
        <item x="45"/>
        <item x="81"/>
        <item x="77"/>
        <item x="94"/>
        <item x="27"/>
        <item x="19"/>
        <item x="47"/>
        <item x="14"/>
        <item x="17"/>
        <item x="57"/>
        <item x="10"/>
        <item x="36"/>
        <item x="109"/>
        <item x="49"/>
        <item x="107"/>
        <item x="2"/>
        <item t="default"/>
      </items>
    </pivotField>
    <pivotField compact="0" numFmtId="184" showAll="0">
      <items count="100">
        <item x="87"/>
        <item x="97"/>
        <item x="86"/>
        <item x="81"/>
        <item x="38"/>
        <item x="58"/>
        <item x="44"/>
        <item x="18"/>
        <item x="55"/>
        <item x="75"/>
        <item x="14"/>
        <item x="34"/>
        <item x="29"/>
        <item x="19"/>
        <item x="47"/>
        <item x="4"/>
        <item x="60"/>
        <item x="13"/>
        <item x="1"/>
        <item x="10"/>
        <item x="32"/>
        <item x="51"/>
        <item x="22"/>
        <item x="88"/>
        <item x="62"/>
        <item x="2"/>
        <item x="73"/>
        <item x="74"/>
        <item x="90"/>
        <item x="71"/>
        <item x="26"/>
        <item x="30"/>
        <item x="64"/>
        <item x="23"/>
        <item x="8"/>
        <item x="35"/>
        <item x="52"/>
        <item x="68"/>
        <item x="15"/>
        <item x="65"/>
        <item x="93"/>
        <item x="45"/>
        <item x="16"/>
        <item x="3"/>
        <item x="21"/>
        <item x="20"/>
        <item x="83"/>
        <item x="63"/>
        <item x="9"/>
        <item x="12"/>
        <item x="48"/>
        <item x="66"/>
        <item x="24"/>
        <item x="17"/>
        <item x="91"/>
        <item x="7"/>
        <item x="41"/>
        <item x="5"/>
        <item x="50"/>
        <item x="49"/>
        <item x="77"/>
        <item x="84"/>
        <item x="43"/>
        <item x="37"/>
        <item x="78"/>
        <item x="59"/>
        <item x="79"/>
        <item x="36"/>
        <item x="28"/>
        <item x="11"/>
        <item x="46"/>
        <item x="69"/>
        <item x="25"/>
        <item x="31"/>
        <item x="6"/>
        <item x="57"/>
        <item x="67"/>
        <item x="39"/>
        <item x="33"/>
        <item x="70"/>
        <item x="95"/>
        <item x="80"/>
        <item x="85"/>
        <item x="53"/>
        <item x="56"/>
        <item x="92"/>
        <item x="89"/>
        <item x="27"/>
        <item x="61"/>
        <item x="76"/>
        <item x="96"/>
        <item x="54"/>
        <item x="98"/>
        <item x="82"/>
        <item x="42"/>
        <item x="94"/>
        <item x="0"/>
        <item x="40"/>
        <item x="72"/>
        <item t="default"/>
      </items>
    </pivotField>
    <pivotField compact="0" numFmtId="182" showAll="0">
      <items count="52">
        <item x="11"/>
        <item x="24"/>
        <item x="50"/>
        <item x="17"/>
        <item x="1"/>
        <item x="47"/>
        <item x="31"/>
        <item x="29"/>
        <item x="49"/>
        <item x="38"/>
        <item x="27"/>
        <item x="37"/>
        <item x="5"/>
        <item x="10"/>
        <item x="45"/>
        <item x="3"/>
        <item x="21"/>
        <item x="32"/>
        <item x="26"/>
        <item x="28"/>
        <item x="12"/>
        <item x="16"/>
        <item x="2"/>
        <item x="44"/>
        <item x="40"/>
        <item x="9"/>
        <item x="33"/>
        <item x="8"/>
        <item x="39"/>
        <item x="34"/>
        <item x="42"/>
        <item x="18"/>
        <item x="4"/>
        <item x="35"/>
        <item x="7"/>
        <item x="36"/>
        <item x="30"/>
        <item x="14"/>
        <item x="6"/>
        <item x="15"/>
        <item x="22"/>
        <item x="43"/>
        <item x="20"/>
        <item x="13"/>
        <item x="48"/>
        <item x="25"/>
        <item x="46"/>
        <item x="41"/>
        <item x="23"/>
        <item x="19"/>
        <item x="0"/>
        <item t="default"/>
      </items>
    </pivotField>
    <pivotField compact="0" showAll="0">
      <items count="3">
        <item x="0"/>
        <item x="1"/>
        <item t="default"/>
      </items>
    </pivotField>
  </pivotFields>
  <dataFields count="1">
    <dataField name="Avg  Experience" fld="7" subtotal="average" baseField="0" baseItem="0"/>
  </dataFields>
  <formats count="3">
    <format dxfId="73">
      <pivotArea collapsedLevelsAreSubtotals="1" fieldPosition="0"/>
    </format>
    <format dxfId="74">
      <pivotArea collapsedLevelsAreSubtotals="1" fieldPosition="0"/>
    </format>
    <format dxfId="75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7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M3:M4" firstHeaderRow="1" firstDataRow="1" firstDataCol="0"/>
  <pivotFields count="11">
    <pivotField compact="0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compact="0" showAll="0">
      <items count="301">
        <item x="72"/>
        <item x="33"/>
        <item x="240"/>
        <item x="132"/>
        <item x="95"/>
        <item x="183"/>
        <item x="163"/>
        <item x="119"/>
        <item x="246"/>
        <item x="52"/>
        <item x="265"/>
        <item x="271"/>
        <item x="23"/>
        <item x="12"/>
        <item x="162"/>
        <item x="233"/>
        <item x="71"/>
        <item x="112"/>
        <item x="53"/>
        <item x="105"/>
        <item x="21"/>
        <item x="84"/>
        <item x="159"/>
        <item x="125"/>
        <item x="193"/>
        <item x="144"/>
        <item x="111"/>
        <item x="122"/>
        <item x="30"/>
        <item x="298"/>
        <item x="66"/>
        <item x="78"/>
        <item x="130"/>
        <item x="262"/>
        <item x="59"/>
        <item x="211"/>
        <item x="36"/>
        <item x="219"/>
        <item x="82"/>
        <item x="220"/>
        <item x="134"/>
        <item x="283"/>
        <item x="224"/>
        <item x="31"/>
        <item x="108"/>
        <item x="51"/>
        <item x="168"/>
        <item x="184"/>
        <item x="172"/>
        <item x="229"/>
        <item x="213"/>
        <item x="268"/>
        <item x="234"/>
        <item x="102"/>
        <item x="238"/>
        <item x="14"/>
        <item x="226"/>
        <item x="118"/>
        <item x="270"/>
        <item x="133"/>
        <item x="138"/>
        <item x="3"/>
        <item x="290"/>
        <item x="94"/>
        <item x="76"/>
        <item x="107"/>
        <item x="147"/>
        <item x="38"/>
        <item x="281"/>
        <item x="113"/>
        <item x="264"/>
        <item x="255"/>
        <item x="10"/>
        <item x="140"/>
        <item x="236"/>
        <item x="29"/>
        <item x="198"/>
        <item x="151"/>
        <item x="146"/>
        <item x="223"/>
        <item x="215"/>
        <item x="32"/>
        <item x="2"/>
        <item x="197"/>
        <item x="25"/>
        <item x="263"/>
        <item x="249"/>
        <item x="243"/>
        <item x="275"/>
        <item x="17"/>
        <item x="11"/>
        <item x="100"/>
        <item x="228"/>
        <item x="87"/>
        <item x="164"/>
        <item x="60"/>
        <item x="296"/>
        <item x="48"/>
        <item x="37"/>
        <item x="187"/>
        <item x="5"/>
        <item x="92"/>
        <item x="167"/>
        <item x="149"/>
        <item x="135"/>
        <item x="80"/>
        <item x="58"/>
        <item x="267"/>
        <item x="57"/>
        <item x="274"/>
        <item x="110"/>
        <item x="174"/>
        <item x="217"/>
        <item x="177"/>
        <item x="227"/>
        <item x="291"/>
        <item x="203"/>
        <item x="68"/>
        <item x="55"/>
        <item x="77"/>
        <item x="292"/>
        <item x="259"/>
        <item x="277"/>
        <item x="221"/>
        <item x="180"/>
        <item x="293"/>
        <item x="247"/>
        <item x="191"/>
        <item x="96"/>
        <item x="22"/>
        <item x="166"/>
        <item x="156"/>
        <item x="137"/>
        <item x="261"/>
        <item x="207"/>
        <item x="210"/>
        <item x="136"/>
        <item x="120"/>
        <item x="280"/>
        <item x="73"/>
        <item x="24"/>
        <item x="278"/>
        <item x="195"/>
        <item x="152"/>
        <item x="208"/>
        <item x="49"/>
        <item x="47"/>
        <item x="27"/>
        <item x="258"/>
        <item x="90"/>
        <item x="85"/>
        <item x="222"/>
        <item x="204"/>
        <item x="64"/>
        <item x="19"/>
        <item x="128"/>
        <item x="235"/>
        <item x="185"/>
        <item x="9"/>
        <item x="181"/>
        <item x="93"/>
        <item x="266"/>
        <item x="209"/>
        <item x="13"/>
        <item x="116"/>
        <item x="239"/>
        <item x="216"/>
        <item x="8"/>
        <item x="91"/>
        <item x="202"/>
        <item x="16"/>
        <item x="81"/>
        <item x="257"/>
        <item x="201"/>
        <item x="295"/>
        <item x="175"/>
        <item x="40"/>
        <item x="4"/>
        <item x="98"/>
        <item x="189"/>
        <item x="182"/>
        <item x="279"/>
        <item x="65"/>
        <item x="63"/>
        <item x="124"/>
        <item x="288"/>
        <item x="254"/>
        <item x="145"/>
        <item x="169"/>
        <item x="241"/>
        <item x="50"/>
        <item x="206"/>
        <item x="157"/>
        <item x="253"/>
        <item x="129"/>
        <item x="194"/>
        <item x="205"/>
        <item x="287"/>
        <item x="252"/>
        <item x="44"/>
        <item x="212"/>
        <item x="75"/>
        <item x="39"/>
        <item x="250"/>
        <item x="176"/>
        <item x="178"/>
        <item x="192"/>
        <item x="86"/>
        <item x="104"/>
        <item x="188"/>
        <item x="41"/>
        <item x="127"/>
        <item x="45"/>
        <item x="286"/>
        <item x="150"/>
        <item x="131"/>
        <item x="245"/>
        <item x="173"/>
        <item x="196"/>
        <item x="126"/>
        <item x="190"/>
        <item x="237"/>
        <item x="43"/>
        <item x="294"/>
        <item x="28"/>
        <item x="186"/>
        <item x="34"/>
        <item x="35"/>
        <item x="54"/>
        <item x="143"/>
        <item x="42"/>
        <item x="7"/>
        <item x="284"/>
        <item x="160"/>
        <item x="142"/>
        <item x="69"/>
        <item x="46"/>
        <item x="74"/>
        <item x="230"/>
        <item x="256"/>
        <item x="89"/>
        <item x="18"/>
        <item x="297"/>
        <item x="67"/>
        <item x="117"/>
        <item x="242"/>
        <item x="154"/>
        <item x="61"/>
        <item x="62"/>
        <item x="251"/>
        <item x="225"/>
        <item x="276"/>
        <item x="15"/>
        <item x="101"/>
        <item x="99"/>
        <item x="26"/>
        <item x="214"/>
        <item x="170"/>
        <item x="6"/>
        <item x="83"/>
        <item x="70"/>
        <item x="97"/>
        <item x="289"/>
        <item x="171"/>
        <item x="272"/>
        <item x="299"/>
        <item x="200"/>
        <item x="123"/>
        <item x="232"/>
        <item x="269"/>
        <item x="114"/>
        <item x="79"/>
        <item x="165"/>
        <item x="244"/>
        <item x="109"/>
        <item x="161"/>
        <item x="155"/>
        <item x="158"/>
        <item x="248"/>
        <item x="153"/>
        <item x="115"/>
        <item x="199"/>
        <item x="103"/>
        <item x="1"/>
        <item x="88"/>
        <item x="260"/>
        <item x="179"/>
        <item x="139"/>
        <item x="106"/>
        <item x="231"/>
        <item x="282"/>
        <item x="273"/>
        <item x="121"/>
        <item x="285"/>
        <item x="20"/>
        <item x="141"/>
        <item x="56"/>
        <item x="218"/>
        <item x="148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9">
        <item x="3"/>
        <item x="6"/>
        <item x="1"/>
        <item x="2"/>
        <item x="5"/>
        <item x="7"/>
        <item x="4"/>
        <item x="0"/>
        <item t="default"/>
      </items>
    </pivotField>
    <pivotField compact="0" showAll="0">
      <items count="6">
        <item x="4"/>
        <item x="0"/>
        <item x="2"/>
        <item x="1"/>
        <item x="3"/>
        <item t="default"/>
      </items>
    </pivotField>
    <pivotField compact="0" numFmtId="185" showAll="0">
      <items count="478">
        <item x="433"/>
        <item x="58"/>
        <item x="2"/>
        <item x="343"/>
        <item x="354"/>
        <item x="472"/>
        <item x="161"/>
        <item x="233"/>
        <item x="437"/>
        <item x="71"/>
        <item x="138"/>
        <item x="98"/>
        <item x="205"/>
        <item x="404"/>
        <item x="456"/>
        <item x="45"/>
        <item x="350"/>
        <item x="193"/>
        <item x="445"/>
        <item x="450"/>
        <item x="11"/>
        <item x="188"/>
        <item x="89"/>
        <item x="213"/>
        <item x="285"/>
        <item x="384"/>
        <item x="422"/>
        <item x="414"/>
        <item x="258"/>
        <item x="20"/>
        <item x="169"/>
        <item x="17"/>
        <item x="260"/>
        <item x="68"/>
        <item x="156"/>
        <item x="307"/>
        <item x="311"/>
        <item x="362"/>
        <item x="82"/>
        <item x="23"/>
        <item x="133"/>
        <item x="425"/>
        <item x="34"/>
        <item x="373"/>
        <item x="470"/>
        <item x="182"/>
        <item x="369"/>
        <item x="245"/>
        <item x="393"/>
        <item x="230"/>
        <item x="313"/>
        <item x="130"/>
        <item x="145"/>
        <item x="331"/>
        <item x="261"/>
        <item x="160"/>
        <item x="475"/>
        <item x="256"/>
        <item x="225"/>
        <item x="270"/>
        <item x="159"/>
        <item x="176"/>
        <item x="63"/>
        <item x="386"/>
        <item x="365"/>
        <item x="154"/>
        <item x="468"/>
        <item x="41"/>
        <item x="452"/>
        <item x="187"/>
        <item x="429"/>
        <item x="166"/>
        <item x="216"/>
        <item x="37"/>
        <item x="35"/>
        <item x="105"/>
        <item x="314"/>
        <item x="6"/>
        <item x="7"/>
        <item x="67"/>
        <item x="453"/>
        <item x="178"/>
        <item x="405"/>
        <item x="324"/>
        <item x="395"/>
        <item x="207"/>
        <item x="372"/>
        <item x="388"/>
        <item x="444"/>
        <item x="303"/>
        <item x="153"/>
        <item x="88"/>
        <item x="474"/>
        <item x="294"/>
        <item x="103"/>
        <item x="272"/>
        <item x="396"/>
        <item x="84"/>
        <item x="246"/>
        <item x="226"/>
        <item x="375"/>
        <item x="378"/>
        <item x="181"/>
        <item x="467"/>
        <item x="209"/>
        <item x="385"/>
        <item x="352"/>
        <item x="316"/>
        <item x="239"/>
        <item x="139"/>
        <item x="344"/>
        <item x="419"/>
        <item x="380"/>
        <item x="454"/>
        <item x="46"/>
        <item x="394"/>
        <item x="340"/>
        <item x="8"/>
        <item x="131"/>
        <item x="382"/>
        <item x="264"/>
        <item x="284"/>
        <item x="298"/>
        <item x="172"/>
        <item x="221"/>
        <item x="283"/>
        <item x="305"/>
        <item x="196"/>
        <item x="357"/>
        <item x="406"/>
        <item x="249"/>
        <item x="250"/>
        <item x="356"/>
        <item x="38"/>
        <item x="48"/>
        <item x="446"/>
        <item x="297"/>
        <item x="355"/>
        <item x="418"/>
        <item x="368"/>
        <item x="140"/>
        <item x="152"/>
        <item x="287"/>
        <item x="109"/>
        <item x="336"/>
        <item x="55"/>
        <item x="174"/>
        <item x="346"/>
        <item x="5"/>
        <item x="208"/>
        <item x="247"/>
        <item x="121"/>
        <item x="33"/>
        <item x="53"/>
        <item x="86"/>
        <item x="168"/>
        <item x="339"/>
        <item x="389"/>
        <item x="56"/>
        <item x="413"/>
        <item x="275"/>
        <item x="102"/>
        <item x="115"/>
        <item x="220"/>
        <item x="464"/>
        <item x="421"/>
        <item x="52"/>
        <item x="391"/>
        <item x="44"/>
        <item x="110"/>
        <item x="39"/>
        <item x="392"/>
        <item x="79"/>
        <item x="164"/>
        <item x="80"/>
        <item x="459"/>
        <item x="3"/>
        <item x="212"/>
        <item x="214"/>
        <item x="175"/>
        <item x="165"/>
        <item x="377"/>
        <item x="42"/>
        <item x="141"/>
        <item x="136"/>
        <item x="127"/>
        <item x="203"/>
        <item x="325"/>
        <item x="180"/>
        <item x="197"/>
        <item x="271"/>
        <item x="204"/>
        <item x="118"/>
        <item x="235"/>
        <item x="449"/>
        <item x="12"/>
        <item x="447"/>
        <item x="293"/>
        <item x="28"/>
        <item x="347"/>
        <item x="317"/>
        <item x="397"/>
        <item x="299"/>
        <item x="123"/>
        <item x="274"/>
        <item x="31"/>
        <item x="211"/>
        <item x="281"/>
        <item x="184"/>
        <item x="351"/>
        <item x="190"/>
        <item x="162"/>
        <item x="142"/>
        <item x="25"/>
        <item x="326"/>
        <item x="75"/>
        <item x="91"/>
        <item x="76"/>
        <item x="434"/>
        <item x="201"/>
        <item x="183"/>
        <item x="327"/>
        <item x="219"/>
        <item x="157"/>
        <item x="117"/>
        <item x="200"/>
        <item x="179"/>
        <item x="171"/>
        <item x="321"/>
        <item x="430"/>
        <item x="353"/>
        <item x="155"/>
        <item x="457"/>
        <item x="106"/>
        <item x="59"/>
        <item x="72"/>
        <item x="114"/>
        <item x="93"/>
        <item x="399"/>
        <item x="18"/>
        <item x="312"/>
        <item x="252"/>
        <item x="194"/>
        <item x="144"/>
        <item x="128"/>
        <item x="62"/>
        <item x="27"/>
        <item x="320"/>
        <item x="81"/>
        <item x="292"/>
        <item x="97"/>
        <item x="218"/>
        <item x="455"/>
        <item x="223"/>
        <item x="310"/>
        <item x="463"/>
        <item x="228"/>
        <item x="189"/>
        <item x="267"/>
        <item x="113"/>
        <item x="403"/>
        <item x="50"/>
        <item x="10"/>
        <item x="22"/>
        <item x="70"/>
        <item x="265"/>
        <item x="64"/>
        <item x="66"/>
        <item x="441"/>
        <item x="104"/>
        <item x="26"/>
        <item x="4"/>
        <item x="191"/>
        <item x="170"/>
        <item x="60"/>
        <item x="40"/>
        <item x="323"/>
        <item x="286"/>
        <item x="349"/>
        <item x="73"/>
        <item x="29"/>
        <item x="366"/>
        <item x="334"/>
        <item x="408"/>
        <item x="224"/>
        <item x="276"/>
        <item x="427"/>
        <item x="387"/>
        <item x="288"/>
        <item x="85"/>
        <item x="158"/>
        <item x="348"/>
        <item x="329"/>
        <item x="295"/>
        <item x="177"/>
        <item x="16"/>
        <item x="398"/>
        <item x="1"/>
        <item x="390"/>
        <item x="146"/>
        <item x="439"/>
        <item x="90"/>
        <item x="54"/>
        <item x="410"/>
        <item x="15"/>
        <item x="291"/>
        <item x="240"/>
        <item x="77"/>
        <item x="119"/>
        <item x="51"/>
        <item x="215"/>
        <item x="92"/>
        <item x="337"/>
        <item x="374"/>
        <item x="116"/>
        <item x="100"/>
        <item x="424"/>
        <item x="315"/>
        <item x="217"/>
        <item x="259"/>
        <item x="473"/>
        <item x="436"/>
        <item x="243"/>
        <item x="242"/>
        <item x="24"/>
        <item x="277"/>
        <item x="9"/>
        <item x="151"/>
        <item x="32"/>
        <item x="120"/>
        <item x="282"/>
        <item x="129"/>
        <item x="173"/>
        <item x="47"/>
        <item x="255"/>
        <item x="167"/>
        <item x="469"/>
        <item x="411"/>
        <item x="94"/>
        <item x="290"/>
        <item x="198"/>
        <item x="319"/>
        <item x="101"/>
        <item x="186"/>
        <item x="134"/>
        <item x="451"/>
        <item x="438"/>
        <item x="206"/>
        <item x="318"/>
        <item x="280"/>
        <item x="19"/>
        <item x="359"/>
        <item x="241"/>
        <item x="262"/>
        <item x="125"/>
        <item x="263"/>
        <item x="448"/>
        <item x="435"/>
        <item x="432"/>
        <item x="126"/>
        <item x="278"/>
        <item x="0"/>
        <item x="423"/>
        <item x="364"/>
        <item x="257"/>
        <item x="83"/>
        <item x="309"/>
        <item x="192"/>
        <item x="13"/>
        <item x="308"/>
        <item x="253"/>
        <item x="99"/>
        <item x="458"/>
        <item x="333"/>
        <item x="476"/>
        <item x="111"/>
        <item x="431"/>
        <item x="379"/>
        <item x="471"/>
        <item x="440"/>
        <item x="112"/>
        <item x="237"/>
        <item x="335"/>
        <item x="202"/>
        <item x="210"/>
        <item x="238"/>
        <item x="149"/>
        <item x="302"/>
        <item x="36"/>
        <item x="279"/>
        <item x="304"/>
        <item x="199"/>
        <item x="415"/>
        <item x="132"/>
        <item x="96"/>
        <item x="412"/>
        <item x="360"/>
        <item x="248"/>
        <item x="147"/>
        <item x="74"/>
        <item x="417"/>
        <item x="371"/>
        <item x="401"/>
        <item x="185"/>
        <item x="232"/>
        <item x="466"/>
        <item x="332"/>
        <item x="163"/>
        <item x="234"/>
        <item x="269"/>
        <item x="289"/>
        <item x="78"/>
        <item x="370"/>
        <item x="30"/>
        <item x="122"/>
        <item x="407"/>
        <item x="341"/>
        <item x="328"/>
        <item x="61"/>
        <item x="358"/>
        <item x="43"/>
        <item x="222"/>
        <item x="87"/>
        <item x="409"/>
        <item x="108"/>
        <item x="69"/>
        <item x="342"/>
        <item x="400"/>
        <item x="195"/>
        <item x="57"/>
        <item x="251"/>
        <item x="229"/>
        <item x="460"/>
        <item x="49"/>
        <item x="330"/>
        <item x="124"/>
        <item x="443"/>
        <item x="296"/>
        <item x="21"/>
        <item x="442"/>
        <item x="95"/>
        <item x="268"/>
        <item x="266"/>
        <item x="254"/>
        <item x="306"/>
        <item x="376"/>
        <item x="462"/>
        <item x="461"/>
        <item x="244"/>
        <item x="135"/>
        <item x="150"/>
        <item x="236"/>
        <item x="65"/>
        <item x="428"/>
        <item x="143"/>
        <item x="426"/>
        <item x="383"/>
        <item x="137"/>
        <item x="148"/>
        <item x="14"/>
        <item x="361"/>
        <item x="273"/>
        <item x="338"/>
        <item x="416"/>
        <item x="345"/>
        <item x="465"/>
        <item x="322"/>
        <item x="367"/>
        <item x="301"/>
        <item x="420"/>
        <item x="402"/>
        <item x="363"/>
        <item x="231"/>
        <item x="381"/>
        <item x="300"/>
        <item x="227"/>
        <item x="107"/>
        <item t="default"/>
      </items>
    </pivotField>
    <pivotField compact="0" showAll="0">
      <items count="12">
        <item x="2"/>
        <item x="4"/>
        <item x="5"/>
        <item x="3"/>
        <item x="7"/>
        <item x="9"/>
        <item x="1"/>
        <item x="6"/>
        <item x="0"/>
        <item x="10"/>
        <item x="8"/>
        <item t="default"/>
      </items>
    </pivotField>
    <pivotField compact="0" showAll="0">
      <items count="111">
        <item x="66"/>
        <item x="103"/>
        <item x="100"/>
        <item x="12"/>
        <item x="46"/>
        <item x="95"/>
        <item x="104"/>
        <item x="96"/>
        <item x="18"/>
        <item x="38"/>
        <item x="43"/>
        <item x="48"/>
        <item x="55"/>
        <item x="35"/>
        <item x="24"/>
        <item x="84"/>
        <item x="50"/>
        <item x="60"/>
        <item x="29"/>
        <item x="92"/>
        <item x="90"/>
        <item x="68"/>
        <item x="108"/>
        <item x="67"/>
        <item x="62"/>
        <item x="11"/>
        <item x="52"/>
        <item x="74"/>
        <item x="98"/>
        <item x="73"/>
        <item x="16"/>
        <item x="79"/>
        <item x="59"/>
        <item x="37"/>
        <item x="76"/>
        <item x="71"/>
        <item x="8"/>
        <item x="97"/>
        <item x="63"/>
        <item x="58"/>
        <item x="39"/>
        <item x="13"/>
        <item x="1"/>
        <item x="54"/>
        <item x="93"/>
        <item x="23"/>
        <item x="101"/>
        <item x="32"/>
        <item x="4"/>
        <item x="9"/>
        <item x="69"/>
        <item x="99"/>
        <item x="88"/>
        <item x="105"/>
        <item x="61"/>
        <item x="21"/>
        <item x="15"/>
        <item x="44"/>
        <item x="65"/>
        <item x="82"/>
        <item x="70"/>
        <item x="51"/>
        <item x="20"/>
        <item x="83"/>
        <item x="25"/>
        <item x="72"/>
        <item x="22"/>
        <item x="0"/>
        <item x="75"/>
        <item x="34"/>
        <item x="85"/>
        <item x="3"/>
        <item x="31"/>
        <item x="40"/>
        <item x="64"/>
        <item x="42"/>
        <item x="26"/>
        <item x="5"/>
        <item x="41"/>
        <item x="102"/>
        <item x="30"/>
        <item x="89"/>
        <item x="86"/>
        <item x="78"/>
        <item x="7"/>
        <item x="80"/>
        <item x="106"/>
        <item x="87"/>
        <item x="53"/>
        <item x="56"/>
        <item x="91"/>
        <item x="6"/>
        <item x="28"/>
        <item x="33"/>
        <item x="45"/>
        <item x="81"/>
        <item x="77"/>
        <item x="94"/>
        <item x="27"/>
        <item x="19"/>
        <item x="47"/>
        <item x="14"/>
        <item x="17"/>
        <item x="57"/>
        <item x="10"/>
        <item x="36"/>
        <item x="109"/>
        <item x="49"/>
        <item x="107"/>
        <item x="2"/>
        <item t="default"/>
      </items>
    </pivotField>
    <pivotField compact="0" numFmtId="184" showAll="0">
      <items count="100">
        <item x="87"/>
        <item x="97"/>
        <item x="86"/>
        <item x="81"/>
        <item x="38"/>
        <item x="58"/>
        <item x="44"/>
        <item x="18"/>
        <item x="55"/>
        <item x="75"/>
        <item x="14"/>
        <item x="34"/>
        <item x="29"/>
        <item x="19"/>
        <item x="47"/>
        <item x="4"/>
        <item x="60"/>
        <item x="13"/>
        <item x="1"/>
        <item x="10"/>
        <item x="32"/>
        <item x="51"/>
        <item x="22"/>
        <item x="88"/>
        <item x="62"/>
        <item x="2"/>
        <item x="73"/>
        <item x="74"/>
        <item x="90"/>
        <item x="71"/>
        <item x="26"/>
        <item x="30"/>
        <item x="64"/>
        <item x="23"/>
        <item x="8"/>
        <item x="35"/>
        <item x="52"/>
        <item x="68"/>
        <item x="15"/>
        <item x="65"/>
        <item x="93"/>
        <item x="45"/>
        <item x="16"/>
        <item x="3"/>
        <item x="21"/>
        <item x="20"/>
        <item x="83"/>
        <item x="63"/>
        <item x="9"/>
        <item x="12"/>
        <item x="48"/>
        <item x="66"/>
        <item x="24"/>
        <item x="17"/>
        <item x="91"/>
        <item x="7"/>
        <item x="41"/>
        <item x="5"/>
        <item x="50"/>
        <item x="49"/>
        <item x="77"/>
        <item x="84"/>
        <item x="43"/>
        <item x="37"/>
        <item x="78"/>
        <item x="59"/>
        <item x="79"/>
        <item x="36"/>
        <item x="28"/>
        <item x="11"/>
        <item x="46"/>
        <item x="69"/>
        <item x="25"/>
        <item x="31"/>
        <item x="6"/>
        <item x="57"/>
        <item x="67"/>
        <item x="39"/>
        <item x="33"/>
        <item x="70"/>
        <item x="95"/>
        <item x="80"/>
        <item x="85"/>
        <item x="53"/>
        <item x="56"/>
        <item x="92"/>
        <item x="89"/>
        <item x="27"/>
        <item x="61"/>
        <item x="76"/>
        <item x="96"/>
        <item x="54"/>
        <item x="98"/>
        <item x="82"/>
        <item x="42"/>
        <item x="94"/>
        <item x="0"/>
        <item x="40"/>
        <item x="72"/>
        <item t="default"/>
      </items>
    </pivotField>
    <pivotField dataField="1" compact="0" numFmtId="182" showAll="0">
      <items count="52">
        <item x="11"/>
        <item x="24"/>
        <item x="50"/>
        <item x="17"/>
        <item x="1"/>
        <item x="47"/>
        <item x="31"/>
        <item x="29"/>
        <item x="49"/>
        <item x="38"/>
        <item x="27"/>
        <item x="37"/>
        <item x="5"/>
        <item x="10"/>
        <item x="45"/>
        <item x="3"/>
        <item x="21"/>
        <item x="32"/>
        <item x="26"/>
        <item x="28"/>
        <item x="12"/>
        <item x="16"/>
        <item x="2"/>
        <item x="44"/>
        <item x="40"/>
        <item x="9"/>
        <item x="33"/>
        <item x="8"/>
        <item x="39"/>
        <item x="34"/>
        <item x="42"/>
        <item x="18"/>
        <item x="4"/>
        <item x="35"/>
        <item x="7"/>
        <item x="36"/>
        <item x="30"/>
        <item x="14"/>
        <item x="6"/>
        <item x="15"/>
        <item x="22"/>
        <item x="43"/>
        <item x="20"/>
        <item x="13"/>
        <item x="48"/>
        <item x="25"/>
        <item x="46"/>
        <item x="41"/>
        <item x="23"/>
        <item x="19"/>
        <item x="0"/>
        <item t="default"/>
      </items>
    </pivotField>
    <pivotField compact="0" showAll="0">
      <items count="3">
        <item x="0"/>
        <item x="1"/>
        <item t="default"/>
      </items>
    </pivotField>
  </pivotFields>
  <dataFields count="1">
    <dataField name="Avg Performance" fld="9" subtotal="average" baseField="0" baseItem="0"/>
  </dataFields>
  <formats count="5">
    <format dxfId="76">
      <pivotArea collapsedLevelsAreSubtotals="1" fieldPosition="0"/>
    </format>
    <format dxfId="77">
      <pivotArea collapsedLevelsAreSubtotals="1" fieldPosition="0"/>
    </format>
    <format dxfId="78">
      <pivotArea collapsedLevelsAreSubtotals="1" fieldPosition="0"/>
    </format>
    <format dxfId="79">
      <pivotArea collapsedLevelsAreSubtotals="1" fieldPosition="0"/>
    </format>
    <format dxfId="80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8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C10:D19" firstHeaderRow="1" firstDataRow="1" firstDataCol="1"/>
  <pivotFields count="11">
    <pivotField compact="0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dataField="1" compact="0" showAll="0">
      <items count="301">
        <item x="72"/>
        <item x="33"/>
        <item x="240"/>
        <item x="132"/>
        <item x="95"/>
        <item x="183"/>
        <item x="163"/>
        <item x="119"/>
        <item x="246"/>
        <item x="52"/>
        <item x="265"/>
        <item x="271"/>
        <item x="23"/>
        <item x="12"/>
        <item x="162"/>
        <item x="233"/>
        <item x="71"/>
        <item x="112"/>
        <item x="53"/>
        <item x="105"/>
        <item x="21"/>
        <item x="84"/>
        <item x="159"/>
        <item x="125"/>
        <item x="193"/>
        <item x="144"/>
        <item x="111"/>
        <item x="122"/>
        <item x="30"/>
        <item x="298"/>
        <item x="66"/>
        <item x="78"/>
        <item x="130"/>
        <item x="262"/>
        <item x="59"/>
        <item x="211"/>
        <item x="36"/>
        <item x="219"/>
        <item x="82"/>
        <item x="220"/>
        <item x="134"/>
        <item x="283"/>
        <item x="224"/>
        <item x="31"/>
        <item x="108"/>
        <item x="51"/>
        <item x="168"/>
        <item x="184"/>
        <item x="172"/>
        <item x="229"/>
        <item x="213"/>
        <item x="268"/>
        <item x="234"/>
        <item x="102"/>
        <item x="238"/>
        <item x="14"/>
        <item x="226"/>
        <item x="118"/>
        <item x="270"/>
        <item x="133"/>
        <item x="138"/>
        <item x="3"/>
        <item x="290"/>
        <item x="94"/>
        <item x="76"/>
        <item x="107"/>
        <item x="147"/>
        <item x="38"/>
        <item x="281"/>
        <item x="113"/>
        <item x="264"/>
        <item x="255"/>
        <item x="10"/>
        <item x="140"/>
        <item x="236"/>
        <item x="29"/>
        <item x="198"/>
        <item x="151"/>
        <item x="146"/>
        <item x="223"/>
        <item x="215"/>
        <item x="32"/>
        <item x="2"/>
        <item x="197"/>
        <item x="25"/>
        <item x="263"/>
        <item x="249"/>
        <item x="243"/>
        <item x="275"/>
        <item x="17"/>
        <item x="11"/>
        <item x="100"/>
        <item x="228"/>
        <item x="87"/>
        <item x="164"/>
        <item x="60"/>
        <item x="296"/>
        <item x="48"/>
        <item x="37"/>
        <item x="187"/>
        <item x="5"/>
        <item x="92"/>
        <item x="167"/>
        <item x="149"/>
        <item x="135"/>
        <item x="80"/>
        <item x="58"/>
        <item x="267"/>
        <item x="57"/>
        <item x="274"/>
        <item x="110"/>
        <item x="174"/>
        <item x="217"/>
        <item x="177"/>
        <item x="227"/>
        <item x="291"/>
        <item x="203"/>
        <item x="68"/>
        <item x="55"/>
        <item x="77"/>
        <item x="292"/>
        <item x="259"/>
        <item x="277"/>
        <item x="221"/>
        <item x="180"/>
        <item x="293"/>
        <item x="247"/>
        <item x="191"/>
        <item x="96"/>
        <item x="22"/>
        <item x="166"/>
        <item x="156"/>
        <item x="137"/>
        <item x="261"/>
        <item x="207"/>
        <item x="210"/>
        <item x="136"/>
        <item x="120"/>
        <item x="280"/>
        <item x="73"/>
        <item x="24"/>
        <item x="278"/>
        <item x="195"/>
        <item x="152"/>
        <item x="208"/>
        <item x="49"/>
        <item x="47"/>
        <item x="27"/>
        <item x="258"/>
        <item x="90"/>
        <item x="85"/>
        <item x="222"/>
        <item x="204"/>
        <item x="64"/>
        <item x="19"/>
        <item x="128"/>
        <item x="235"/>
        <item x="185"/>
        <item x="9"/>
        <item x="181"/>
        <item x="93"/>
        <item x="266"/>
        <item x="209"/>
        <item x="13"/>
        <item x="116"/>
        <item x="239"/>
        <item x="216"/>
        <item x="8"/>
        <item x="91"/>
        <item x="202"/>
        <item x="16"/>
        <item x="81"/>
        <item x="257"/>
        <item x="201"/>
        <item x="295"/>
        <item x="175"/>
        <item x="40"/>
        <item x="4"/>
        <item x="98"/>
        <item x="189"/>
        <item x="182"/>
        <item x="279"/>
        <item x="65"/>
        <item x="63"/>
        <item x="124"/>
        <item x="288"/>
        <item x="254"/>
        <item x="145"/>
        <item x="169"/>
        <item x="241"/>
        <item x="50"/>
        <item x="206"/>
        <item x="157"/>
        <item x="253"/>
        <item x="129"/>
        <item x="194"/>
        <item x="205"/>
        <item x="287"/>
        <item x="252"/>
        <item x="44"/>
        <item x="212"/>
        <item x="75"/>
        <item x="39"/>
        <item x="250"/>
        <item x="176"/>
        <item x="178"/>
        <item x="192"/>
        <item x="86"/>
        <item x="104"/>
        <item x="188"/>
        <item x="41"/>
        <item x="127"/>
        <item x="45"/>
        <item x="286"/>
        <item x="150"/>
        <item x="131"/>
        <item x="245"/>
        <item x="173"/>
        <item x="196"/>
        <item x="126"/>
        <item x="190"/>
        <item x="237"/>
        <item x="43"/>
        <item x="294"/>
        <item x="28"/>
        <item x="186"/>
        <item x="34"/>
        <item x="35"/>
        <item x="54"/>
        <item x="143"/>
        <item x="42"/>
        <item x="7"/>
        <item x="284"/>
        <item x="160"/>
        <item x="142"/>
        <item x="69"/>
        <item x="46"/>
        <item x="74"/>
        <item x="230"/>
        <item x="256"/>
        <item x="89"/>
        <item x="18"/>
        <item x="297"/>
        <item x="67"/>
        <item x="117"/>
        <item x="242"/>
        <item x="154"/>
        <item x="61"/>
        <item x="62"/>
        <item x="251"/>
        <item x="225"/>
        <item x="276"/>
        <item x="15"/>
        <item x="101"/>
        <item x="99"/>
        <item x="26"/>
        <item x="214"/>
        <item x="170"/>
        <item x="6"/>
        <item x="83"/>
        <item x="70"/>
        <item x="97"/>
        <item x="289"/>
        <item x="171"/>
        <item x="272"/>
        <item x="299"/>
        <item x="200"/>
        <item x="123"/>
        <item x="232"/>
        <item x="269"/>
        <item x="114"/>
        <item x="79"/>
        <item x="165"/>
        <item x="244"/>
        <item x="109"/>
        <item x="161"/>
        <item x="155"/>
        <item x="158"/>
        <item x="248"/>
        <item x="153"/>
        <item x="115"/>
        <item x="199"/>
        <item x="103"/>
        <item x="1"/>
        <item x="88"/>
        <item x="260"/>
        <item x="179"/>
        <item x="139"/>
        <item x="106"/>
        <item x="231"/>
        <item x="282"/>
        <item x="273"/>
        <item x="121"/>
        <item x="285"/>
        <item x="20"/>
        <item x="141"/>
        <item x="56"/>
        <item x="218"/>
        <item x="148"/>
        <item x="0"/>
        <item t="default"/>
      </items>
    </pivotField>
    <pivotField compact="0" showAll="0">
      <items count="3">
        <item x="0"/>
        <item x="1"/>
        <item t="default"/>
      </items>
    </pivotField>
    <pivotField axis="axisRow" compact="0" sortType="ascending" showAll="0">
      <items count="9">
        <item x="4"/>
        <item x="7"/>
        <item x="5"/>
        <item x="2"/>
        <item x="1"/>
        <item x="6"/>
        <item x="3"/>
        <item x="0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6">
        <item x="1"/>
        <item x="2"/>
        <item x="0"/>
        <item x="3"/>
        <item x="4"/>
        <item t="default"/>
      </items>
    </pivotField>
    <pivotField compact="0" numFmtId="185" showAll="0">
      <items count="47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t="default"/>
      </items>
    </pivotField>
    <pivotField compact="0" showAll="0">
      <items count="12">
        <item x="2"/>
        <item x="4"/>
        <item x="5"/>
        <item x="3"/>
        <item x="7"/>
        <item x="9"/>
        <item x="1"/>
        <item x="6"/>
        <item x="0"/>
        <item x="10"/>
        <item x="8"/>
        <item t="default"/>
      </items>
    </pivotField>
    <pivotField compact="0" showAll="0">
      <items count="111">
        <item x="74"/>
        <item x="1"/>
        <item x="2"/>
        <item x="3"/>
        <item x="4"/>
        <item x="5"/>
        <item x="6"/>
        <item x="7"/>
        <item x="8"/>
        <item x="9"/>
        <item x="10"/>
        <item x="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compact="0" numFmtId="184" showAll="0">
      <items count="100">
        <item x="34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5"/>
        <item x="36"/>
        <item x="37"/>
        <item x="38"/>
        <item x="39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53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0"/>
        <item x="40"/>
        <item x="72"/>
        <item t="default"/>
      </items>
    </pivotField>
    <pivotField compact="0" numFmtId="182" showAll="0">
      <items count="52">
        <item x="3"/>
        <item x="1"/>
        <item x="2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0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3"/>
  </rowFields>
  <rowItems count="9">
    <i>
      <x v="7"/>
    </i>
    <i>
      <x/>
    </i>
    <i>
      <x v="5"/>
    </i>
    <i>
      <x v="6"/>
    </i>
    <i>
      <x v="3"/>
    </i>
    <i>
      <x v="2"/>
    </i>
    <i>
      <x v="1"/>
    </i>
    <i>
      <x v="4"/>
    </i>
    <i t="grand">
      <x/>
    </i>
  </rowItems>
  <colItems count="1">
    <i/>
  </colItems>
  <dataFields count="1">
    <dataField name="total Employee" fld="1" subtotal="count" baseField="0" baseItem="0"/>
  </dataFields>
  <formats count="1">
    <format dxfId="81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9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Q30:S41" firstHeaderRow="1" firstDataRow="1" firstDataCol="2"/>
  <pivotFields count="11">
    <pivotField compact="0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axis="axisRow" name="Name" measureFilter="1" compact="0" sortType="descending" showAll="0">
      <items count="301">
        <item x="148"/>
        <item x="218"/>
        <item x="56"/>
        <item x="141"/>
        <item x="20"/>
        <item x="285"/>
        <item x="121"/>
        <item x="273"/>
        <item x="282"/>
        <item x="231"/>
        <item x="106"/>
        <item x="139"/>
        <item x="179"/>
        <item x="260"/>
        <item x="88"/>
        <item x="1"/>
        <item x="103"/>
        <item x="199"/>
        <item x="115"/>
        <item x="153"/>
        <item x="248"/>
        <item x="158"/>
        <item x="155"/>
        <item x="161"/>
        <item x="109"/>
        <item x="244"/>
        <item x="165"/>
        <item x="79"/>
        <item x="114"/>
        <item x="269"/>
        <item x="232"/>
        <item x="123"/>
        <item x="200"/>
        <item x="299"/>
        <item x="272"/>
        <item x="171"/>
        <item x="289"/>
        <item x="97"/>
        <item x="70"/>
        <item x="83"/>
        <item x="6"/>
        <item x="170"/>
        <item x="214"/>
        <item x="26"/>
        <item x="99"/>
        <item x="101"/>
        <item x="15"/>
        <item x="276"/>
        <item x="225"/>
        <item x="251"/>
        <item x="62"/>
        <item x="61"/>
        <item x="154"/>
        <item x="242"/>
        <item x="117"/>
        <item x="67"/>
        <item x="297"/>
        <item x="18"/>
        <item x="89"/>
        <item x="256"/>
        <item x="230"/>
        <item x="74"/>
        <item x="46"/>
        <item x="69"/>
        <item x="142"/>
        <item x="160"/>
        <item x="284"/>
        <item x="7"/>
        <item x="42"/>
        <item x="143"/>
        <item x="54"/>
        <item x="35"/>
        <item x="34"/>
        <item x="186"/>
        <item x="28"/>
        <item x="294"/>
        <item x="43"/>
        <item x="237"/>
        <item x="190"/>
        <item x="126"/>
        <item x="196"/>
        <item x="173"/>
        <item x="245"/>
        <item x="131"/>
        <item x="150"/>
        <item x="286"/>
        <item x="45"/>
        <item x="127"/>
        <item x="41"/>
        <item x="0"/>
        <item x="188"/>
        <item x="104"/>
        <item x="86"/>
        <item x="192"/>
        <item x="178"/>
        <item x="176"/>
        <item x="250"/>
        <item x="39"/>
        <item x="75"/>
        <item x="212"/>
        <item x="44"/>
        <item x="252"/>
        <item x="287"/>
        <item x="205"/>
        <item x="194"/>
        <item x="129"/>
        <item x="253"/>
        <item x="157"/>
        <item x="206"/>
        <item x="50"/>
        <item x="241"/>
        <item x="169"/>
        <item x="145"/>
        <item x="254"/>
        <item x="288"/>
        <item x="124"/>
        <item x="63"/>
        <item x="65"/>
        <item x="279"/>
        <item x="182"/>
        <item x="189"/>
        <item x="98"/>
        <item x="4"/>
        <item x="40"/>
        <item x="175"/>
        <item x="295"/>
        <item x="201"/>
        <item x="257"/>
        <item x="81"/>
        <item x="16"/>
        <item x="202"/>
        <item x="91"/>
        <item x="8"/>
        <item x="216"/>
        <item x="239"/>
        <item x="116"/>
        <item x="13"/>
        <item x="209"/>
        <item x="266"/>
        <item x="93"/>
        <item x="181"/>
        <item x="9"/>
        <item x="185"/>
        <item x="235"/>
        <item x="128"/>
        <item x="19"/>
        <item x="64"/>
        <item x="204"/>
        <item x="222"/>
        <item x="85"/>
        <item x="90"/>
        <item x="258"/>
        <item x="27"/>
        <item x="47"/>
        <item x="49"/>
        <item x="208"/>
        <item x="152"/>
        <item x="195"/>
        <item x="278"/>
        <item x="24"/>
        <item x="73"/>
        <item x="280"/>
        <item x="120"/>
        <item x="136"/>
        <item x="210"/>
        <item x="207"/>
        <item x="261"/>
        <item x="137"/>
        <item x="156"/>
        <item x="166"/>
        <item x="22"/>
        <item x="96"/>
        <item x="191"/>
        <item x="247"/>
        <item x="293"/>
        <item x="180"/>
        <item x="221"/>
        <item x="277"/>
        <item x="259"/>
        <item x="292"/>
        <item x="77"/>
        <item x="55"/>
        <item x="68"/>
        <item x="203"/>
        <item x="291"/>
        <item x="227"/>
        <item x="177"/>
        <item x="217"/>
        <item x="174"/>
        <item x="110"/>
        <item x="274"/>
        <item x="57"/>
        <item x="267"/>
        <item x="58"/>
        <item x="80"/>
        <item x="135"/>
        <item x="149"/>
        <item x="167"/>
        <item x="92"/>
        <item x="5"/>
        <item x="187"/>
        <item x="37"/>
        <item x="48"/>
        <item x="296"/>
        <item x="60"/>
        <item x="164"/>
        <item x="87"/>
        <item x="228"/>
        <item x="100"/>
        <item x="11"/>
        <item x="17"/>
        <item x="275"/>
        <item x="243"/>
        <item x="249"/>
        <item x="263"/>
        <item x="25"/>
        <item x="197"/>
        <item x="2"/>
        <item x="32"/>
        <item x="215"/>
        <item x="223"/>
        <item x="146"/>
        <item x="151"/>
        <item x="198"/>
        <item x="29"/>
        <item x="236"/>
        <item x="140"/>
        <item x="10"/>
        <item x="255"/>
        <item x="264"/>
        <item x="113"/>
        <item x="281"/>
        <item x="38"/>
        <item x="147"/>
        <item x="107"/>
        <item x="76"/>
        <item x="94"/>
        <item x="290"/>
        <item x="3"/>
        <item x="138"/>
        <item x="133"/>
        <item x="270"/>
        <item x="118"/>
        <item x="226"/>
        <item x="14"/>
        <item x="238"/>
        <item x="102"/>
        <item x="234"/>
        <item x="268"/>
        <item x="213"/>
        <item x="229"/>
        <item x="172"/>
        <item x="184"/>
        <item x="168"/>
        <item x="51"/>
        <item x="108"/>
        <item x="31"/>
        <item x="224"/>
        <item x="283"/>
        <item x="134"/>
        <item x="220"/>
        <item x="82"/>
        <item x="219"/>
        <item x="36"/>
        <item x="211"/>
        <item x="59"/>
        <item x="262"/>
        <item x="130"/>
        <item x="78"/>
        <item x="66"/>
        <item x="298"/>
        <item x="30"/>
        <item x="122"/>
        <item x="111"/>
        <item x="144"/>
        <item x="193"/>
        <item x="125"/>
        <item x="159"/>
        <item x="84"/>
        <item x="21"/>
        <item x="105"/>
        <item x="53"/>
        <item x="112"/>
        <item x="71"/>
        <item x="233"/>
        <item x="162"/>
        <item x="12"/>
        <item x="23"/>
        <item x="271"/>
        <item x="265"/>
        <item x="52"/>
        <item x="246"/>
        <item x="119"/>
        <item x="163"/>
        <item x="183"/>
        <item x="95"/>
        <item x="132"/>
        <item x="240"/>
        <item x="33"/>
        <item x="72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3">
        <item x="0"/>
        <item x="1"/>
        <item t="default"/>
      </items>
    </pivotField>
    <pivotField axis="axisRow" compact="0" showAll="0">
      <items count="9">
        <item x="3"/>
        <item x="6"/>
        <item x="1"/>
        <item x="2"/>
        <item x="5"/>
        <item x="7"/>
        <item x="4"/>
        <item x="0"/>
        <item t="default"/>
      </items>
    </pivotField>
    <pivotField compact="0" showAll="0">
      <items count="6">
        <item x="1"/>
        <item x="2"/>
        <item x="0"/>
        <item x="3"/>
        <item x="4"/>
        <item t="default"/>
      </items>
    </pivotField>
    <pivotField compact="0" numFmtId="185" showAll="0">
      <items count="47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t="default"/>
      </items>
    </pivotField>
    <pivotField compact="0" showAll="0">
      <items count="12">
        <item x="2"/>
        <item x="4"/>
        <item x="5"/>
        <item x="3"/>
        <item x="7"/>
        <item x="9"/>
        <item x="1"/>
        <item x="6"/>
        <item x="0"/>
        <item x="10"/>
        <item x="8"/>
        <item t="default"/>
      </items>
    </pivotField>
    <pivotField compact="0" showAll="0">
      <items count="111">
        <item x="74"/>
        <item x="1"/>
        <item x="2"/>
        <item x="3"/>
        <item x="4"/>
        <item x="5"/>
        <item x="6"/>
        <item x="7"/>
        <item x="8"/>
        <item x="9"/>
        <item x="10"/>
        <item x="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compact="0" numFmtId="184" showAll="0">
      <items count="100">
        <item x="34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5"/>
        <item x="36"/>
        <item x="37"/>
        <item x="38"/>
        <item x="39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53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0"/>
        <item x="40"/>
        <item x="72"/>
        <item t="default"/>
      </items>
    </pivotField>
    <pivotField dataField="1" compact="0" numFmtId="182" showAll="0">
      <items count="52">
        <item x="3"/>
        <item x="1"/>
        <item x="2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0"/>
        <item t="default"/>
      </items>
    </pivotField>
    <pivotField compact="0" showAll="0">
      <items count="3">
        <item x="0"/>
        <item x="1"/>
        <item t="default"/>
      </items>
    </pivotField>
  </pivotFields>
  <rowFields count="2">
    <field x="1"/>
    <field x="3"/>
  </rowFields>
  <rowItems count="11">
    <i>
      <x v="89"/>
    </i>
    <i r="1">
      <x v="7"/>
    </i>
    <i>
      <x v="45"/>
    </i>
    <i r="1">
      <x v="2"/>
    </i>
    <i>
      <x v="273"/>
    </i>
    <i r="1">
      <x v="5"/>
    </i>
    <i>
      <x v="237"/>
    </i>
    <i r="1">
      <x v="2"/>
    </i>
    <i>
      <x v="158"/>
    </i>
    <i r="1">
      <x v="4"/>
    </i>
    <i t="grand">
      <x/>
    </i>
  </rowItems>
  <colItems count="1">
    <i/>
  </colItems>
  <dataFields count="1">
    <dataField name="Avg Performance" fld="9" subtotal="average" baseField="0" baseItem="0"/>
  </dataFields>
  <formats count="14">
    <format dxfId="82">
      <pivotArea type="all" dataOnly="0" outline="0" fieldPosition="0"/>
    </format>
    <format dxfId="83">
      <pivotArea type="all" dataOnly="0" outline="0" fieldPosition="0"/>
    </format>
    <format dxfId="84">
      <pivotArea type="all" dataOnly="0" outline="0" fieldPosition="0"/>
    </format>
    <format dxfId="85">
      <pivotArea type="all" dataOnly="0" outline="0" fieldPosition="0"/>
    </format>
    <format dxfId="86">
      <pivotArea type="all" dataOnly="0" outline="0" fieldPosition="0"/>
    </format>
    <format dxfId="87">
      <pivotArea type="all" dataOnly="0" outline="0" fieldPosition="0"/>
    </format>
    <format dxfId="88">
      <pivotArea field="1" type="button" dataOnly="0" labelOnly="1" outline="0" fieldPosition="0"/>
    </format>
    <format dxfId="89">
      <pivotArea field="3" type="button" dataOnly="0" labelOnly="1" outline="0" fieldPosition="0"/>
    </format>
    <format dxfId="90">
      <pivotArea dataOnly="0" labelOnly="1" offset="IV1:IV1" fieldPosition="0">
        <references count="1">
          <reference field="1" count="1">
            <x v="89"/>
          </reference>
        </references>
      </pivotArea>
    </format>
    <format dxfId="91">
      <pivotArea collapsedLevelsAreSubtotals="1" fieldPosition="0">
        <references count="1">
          <reference field="1" count="1" selected="0">
            <x v="89"/>
          </reference>
        </references>
      </pivotArea>
    </format>
    <format dxfId="92">
      <pivotArea dataOnly="0" labelOnly="1" offset="IV1:IV1" fieldPosition="0">
        <references count="1">
          <reference field="1" count="1">
            <x v="89"/>
          </reference>
        </references>
      </pivotArea>
    </format>
    <format dxfId="93">
      <pivotArea collapsedLevelsAreSubtotals="1" fieldPosition="0">
        <references count="1">
          <reference field="1" count="1" selected="0">
            <x v="89"/>
          </reference>
        </references>
      </pivotArea>
    </format>
    <format dxfId="94">
      <pivotArea type="all" dataOnly="0" outline="0" fieldPosition="0"/>
    </format>
    <format dxfId="95">
      <pivotArea type="all" dataOnly="0" outline="0" fieldPosition="0"/>
    </format>
  </formats>
  <pivotTableStyleInfo name="PivotStyleLight16" showRowHeaders="1" showColHeaders="1" showLastColumn="1"/>
  <filters count="1">
    <filter evalOrder="-1" fld="1" iMeasureFld="0" id="1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Joining_Date" sourceName="Joining_Date">
  <pivotTables>
    <pivotTable tabId="4" name="PivotTable2"/>
    <pivotTable tabId="4" name="PivotTable8"/>
    <pivotTable tabId="4" name="PivotTable1"/>
    <pivotTable tabId="4" name="PivotTable14"/>
    <pivotTable tabId="4" name="PivotTable3"/>
    <pivotTable tabId="4" name="PivotTable7"/>
    <pivotTable tabId="4" name="PivotTable9"/>
    <pivotTable tabId="4" name="PivotTable10"/>
    <pivotTable tabId="4" name="PivotTable11"/>
    <pivotTable tabId="4" name="PivotTable12"/>
    <pivotTable tabId="4" name="PivotTable13"/>
    <pivotTable tabId="4" name="PivotTable4"/>
    <pivotTable tabId="4" name="PivotTable5"/>
    <pivotTable tabId="4" name="PivotTable6"/>
    <pivotTable tabId="4" name="PivotTable15"/>
    <pivotTable tabId="3" name="PivotTable1"/>
    <pivotTable tabId="5" name="PivotTable1"/>
    <pivotTable tabId="5" name="PivotTable2"/>
    <pivotTable tabId="5" name="PivotTable3"/>
    <pivotTable tabId="5" name="PivotTable4"/>
    <pivotTable tabId="5" name="PivotTable5"/>
    <pivotTable tabId="5" name="PivotTable6"/>
    <pivotTable tabId="5" name="PivotTable7"/>
    <pivotTable tabId="5" name="PivotTable8"/>
    <pivotTable tabId="5" name="PivotTable10"/>
    <pivotTable tabId="5" name="PivotTable11"/>
    <pivotTable tabId="5" name="PivotTable12"/>
    <pivotTable tabId="5" name="PivotTable13"/>
    <pivotTable tabId="5" name="PivotTable9"/>
  </pivotTables>
  <data>
    <tabular pivotCacheId="1">
      <items count="477">
        <i x="433" s="1"/>
        <i x="58" s="1"/>
        <i x="2" s="1"/>
        <i x="343" s="1"/>
        <i x="354" s="1"/>
        <i x="472" s="1"/>
        <i x="161" s="1"/>
        <i x="233" s="1"/>
        <i x="437" s="1"/>
        <i x="71" s="1"/>
        <i x="138" s="1"/>
        <i x="98" s="1"/>
        <i x="205" s="1"/>
        <i x="404" s="1"/>
        <i x="456" s="1"/>
        <i x="45" s="1"/>
        <i x="350" s="1"/>
        <i x="193" s="1"/>
        <i x="445" s="1"/>
        <i x="450" s="1"/>
        <i x="11" s="1"/>
        <i x="188" s="1"/>
        <i x="89" s="1"/>
        <i x="213" s="1"/>
        <i x="285" s="1"/>
        <i x="384" s="1"/>
        <i x="422" s="1"/>
        <i x="414" s="1"/>
        <i x="258" s="1"/>
        <i x="20" s="1"/>
        <i x="169" s="1"/>
        <i x="17" s="1"/>
        <i x="260" s="1"/>
        <i x="68" s="1"/>
        <i x="156" s="1"/>
        <i x="307" s="1"/>
        <i x="311" s="1"/>
        <i x="362" s="1"/>
        <i x="82" s="1"/>
        <i x="23" s="1"/>
        <i x="133" s="1"/>
        <i x="425" s="1"/>
        <i x="34" s="1"/>
        <i x="373" s="1"/>
        <i x="470" s="1"/>
        <i x="182" s="1"/>
        <i x="369" s="1"/>
        <i x="245" s="1"/>
        <i x="393" s="1"/>
        <i x="230" s="1"/>
        <i x="313" s="1"/>
        <i x="130" s="1"/>
        <i x="145" s="1"/>
        <i x="331" s="1"/>
        <i x="261" s="1"/>
        <i x="160" s="1"/>
        <i x="475" s="1"/>
        <i x="256" s="1"/>
        <i x="225" s="1"/>
        <i x="270" s="1"/>
        <i x="159" s="1"/>
        <i x="176" s="1"/>
        <i x="63" s="1"/>
        <i x="386" s="1"/>
        <i x="365" s="1"/>
        <i x="154" s="1"/>
        <i x="468" s="1"/>
        <i x="41" s="1"/>
        <i x="452" s="1"/>
        <i x="187" s="1"/>
        <i x="429" s="1"/>
        <i x="166" s="1"/>
        <i x="216" s="1"/>
        <i x="37" s="1"/>
        <i x="35" s="1"/>
        <i x="105" s="1"/>
        <i x="314" s="1"/>
        <i x="6" s="1"/>
        <i x="7" s="1"/>
        <i x="67" s="1"/>
        <i x="453" s="1"/>
        <i x="178" s="1"/>
        <i x="405" s="1"/>
        <i x="324" s="1"/>
        <i x="395" s="1"/>
        <i x="207" s="1"/>
        <i x="372" s="1"/>
        <i x="388" s="1"/>
        <i x="444" s="1"/>
        <i x="303" s="1"/>
        <i x="153" s="1"/>
        <i x="88" s="1"/>
        <i x="474" s="1"/>
        <i x="294" s="1"/>
        <i x="103" s="1"/>
        <i x="272" s="1"/>
        <i x="396" s="1"/>
        <i x="84" s="1"/>
        <i x="246" s="1"/>
        <i x="226" s="1"/>
        <i x="375" s="1"/>
        <i x="378" s="1"/>
        <i x="181" s="1"/>
        <i x="467" s="1"/>
        <i x="209" s="1"/>
        <i x="385" s="1"/>
        <i x="352" s="1"/>
        <i x="316" s="1"/>
        <i x="239" s="1"/>
        <i x="139" s="1"/>
        <i x="344" s="1"/>
        <i x="419" s="1"/>
        <i x="380" s="1"/>
        <i x="454" s="1"/>
        <i x="46" s="1"/>
        <i x="394" s="1"/>
        <i x="340" s="1"/>
        <i x="8" s="1"/>
        <i x="131" s="1"/>
        <i x="382" s="1"/>
        <i x="264" s="1"/>
        <i x="284" s="1"/>
        <i x="298" s="1"/>
        <i x="172" s="1"/>
        <i x="221" s="1"/>
        <i x="283" s="1"/>
        <i x="305" s="1"/>
        <i x="196" s="1"/>
        <i x="357" s="1"/>
        <i x="406" s="1"/>
        <i x="249" s="1"/>
        <i x="250" s="1"/>
        <i x="356" s="1"/>
        <i x="38" s="1"/>
        <i x="48" s="1"/>
        <i x="446" s="1"/>
        <i x="297" s="1"/>
        <i x="355" s="1"/>
        <i x="418" s="1"/>
        <i x="368" s="1"/>
        <i x="140" s="1"/>
        <i x="152" s="1"/>
        <i x="287" s="1"/>
        <i x="109" s="1"/>
        <i x="336" s="1"/>
        <i x="55" s="1"/>
        <i x="174" s="1"/>
        <i x="346" s="1"/>
        <i x="5" s="1"/>
        <i x="208" s="1"/>
        <i x="247" s="1"/>
        <i x="121" s="1"/>
        <i x="33" s="1"/>
        <i x="53" s="1"/>
        <i x="86" s="1"/>
        <i x="168" s="1"/>
        <i x="339" s="1"/>
        <i x="389" s="1"/>
        <i x="56" s="1"/>
        <i x="413" s="1"/>
        <i x="275" s="1"/>
        <i x="102" s="1"/>
        <i x="115" s="1"/>
        <i x="220" s="1"/>
        <i x="464" s="1"/>
        <i x="421" s="1"/>
        <i x="52" s="1"/>
        <i x="391" s="1"/>
        <i x="44" s="1"/>
        <i x="110" s="1"/>
        <i x="39" s="1"/>
        <i x="392" s="1"/>
        <i x="79" s="1"/>
        <i x="164" s="1"/>
        <i x="80" s="1"/>
        <i x="459" s="1"/>
        <i x="3" s="1"/>
        <i x="212" s="1"/>
        <i x="214" s="1"/>
        <i x="175" s="1"/>
        <i x="165" s="1"/>
        <i x="377" s="1"/>
        <i x="42" s="1"/>
        <i x="141" s="1"/>
        <i x="136" s="1"/>
        <i x="127" s="1"/>
        <i x="203" s="1"/>
        <i x="325" s="1"/>
        <i x="180" s="1"/>
        <i x="197" s="1"/>
        <i x="271" s="1"/>
        <i x="204" s="1"/>
        <i x="118" s="1"/>
        <i x="235" s="1"/>
        <i x="449" s="1"/>
        <i x="12" s="1"/>
        <i x="447" s="1"/>
        <i x="293" s="1"/>
        <i x="28" s="1"/>
        <i x="347" s="1"/>
        <i x="317" s="1"/>
        <i x="397" s="1"/>
        <i x="299" s="1"/>
        <i x="123" s="1"/>
        <i x="274" s="1"/>
        <i x="31" s="1"/>
        <i x="211" s="1"/>
        <i x="281" s="1"/>
        <i x="184" s="1"/>
        <i x="351" s="1"/>
        <i x="190" s="1"/>
        <i x="162" s="1"/>
        <i x="142" s="1"/>
        <i x="25" s="1"/>
        <i x="326" s="1"/>
        <i x="75" s="1"/>
        <i x="91" s="1"/>
        <i x="76" s="1"/>
        <i x="434" s="1"/>
        <i x="201" s="1"/>
        <i x="183" s="1"/>
        <i x="327" s="1"/>
        <i x="219" s="1"/>
        <i x="157" s="1"/>
        <i x="117" s="1"/>
        <i x="200" s="1"/>
        <i x="179" s="1"/>
        <i x="171" s="1"/>
        <i x="321" s="1"/>
        <i x="430" s="1"/>
        <i x="353" s="1"/>
        <i x="155" s="1"/>
        <i x="457" s="1"/>
        <i x="106" s="1"/>
        <i x="59" s="1"/>
        <i x="72" s="1"/>
        <i x="114" s="1"/>
        <i x="93" s="1"/>
        <i x="399" s="1"/>
        <i x="18" s="1"/>
        <i x="312" s="1"/>
        <i x="252" s="1"/>
        <i x="194" s="1"/>
        <i x="144" s="1"/>
        <i x="128" s="1"/>
        <i x="62" s="1"/>
        <i x="27" s="1"/>
        <i x="320" s="1"/>
        <i x="81" s="1"/>
        <i x="292" s="1"/>
        <i x="97" s="1"/>
        <i x="218" s="1"/>
        <i x="455" s="1"/>
        <i x="223" s="1"/>
        <i x="310" s="1"/>
        <i x="463" s="1"/>
        <i x="228" s="1"/>
        <i x="189" s="1"/>
        <i x="267" s="1"/>
        <i x="113" s="1"/>
        <i x="403" s="1"/>
        <i x="50" s="1"/>
        <i x="10" s="1"/>
        <i x="22" s="1"/>
        <i x="70" s="1"/>
        <i x="265" s="1"/>
        <i x="64" s="1"/>
        <i x="66" s="1"/>
        <i x="441" s="1"/>
        <i x="104" s="1"/>
        <i x="26" s="1"/>
        <i x="4" s="1"/>
        <i x="191" s="1"/>
        <i x="170" s="1"/>
        <i x="60" s="1"/>
        <i x="40" s="1"/>
        <i x="323" s="1"/>
        <i x="286" s="1"/>
        <i x="349" s="1"/>
        <i x="73" s="1"/>
        <i x="29" s="1"/>
        <i x="366" s="1"/>
        <i x="334" s="1"/>
        <i x="408" s="1"/>
        <i x="224" s="1"/>
        <i x="276" s="1"/>
        <i x="427" s="1"/>
        <i x="387" s="1"/>
        <i x="288" s="1"/>
        <i x="85" s="1"/>
        <i x="158" s="1"/>
        <i x="348" s="1"/>
        <i x="329" s="1"/>
        <i x="295" s="1"/>
        <i x="177" s="1"/>
        <i x="16" s="1"/>
        <i x="398" s="1"/>
        <i x="1" s="1"/>
        <i x="390" s="1"/>
        <i x="146" s="1"/>
        <i x="439" s="1"/>
        <i x="90" s="1"/>
        <i x="54" s="1"/>
        <i x="410" s="1"/>
        <i x="15" s="1"/>
        <i x="291" s="1"/>
        <i x="240" s="1"/>
        <i x="77" s="1"/>
        <i x="119" s="1"/>
        <i x="51" s="1"/>
        <i x="215" s="1"/>
        <i x="92" s="1"/>
        <i x="337" s="1"/>
        <i x="374" s="1"/>
        <i x="116" s="1"/>
        <i x="100" s="1"/>
        <i x="424" s="1"/>
        <i x="315" s="1"/>
        <i x="217" s="1"/>
        <i x="259" s="1"/>
        <i x="473" s="1"/>
        <i x="436" s="1"/>
        <i x="243" s="1"/>
        <i x="242" s="1"/>
        <i x="24" s="1"/>
        <i x="277" s="1"/>
        <i x="9" s="1"/>
        <i x="151" s="1"/>
        <i x="32" s="1"/>
        <i x="120" s="1"/>
        <i x="282" s="1"/>
        <i x="129" s="1"/>
        <i x="173" s="1"/>
        <i x="47" s="1"/>
        <i x="255" s="1"/>
        <i x="167" s="1"/>
        <i x="469" s="1"/>
        <i x="411" s="1"/>
        <i x="94" s="1"/>
        <i x="290" s="1"/>
        <i x="198" s="1"/>
        <i x="319" s="1"/>
        <i x="101" s="1"/>
        <i x="186" s="1"/>
        <i x="134" s="1"/>
        <i x="451" s="1"/>
        <i x="438" s="1"/>
        <i x="206" s="1"/>
        <i x="318" s="1"/>
        <i x="280" s="1"/>
        <i x="19" s="1"/>
        <i x="359" s="1"/>
        <i x="241" s="1"/>
        <i x="262" s="1"/>
        <i x="125" s="1"/>
        <i x="263" s="1"/>
        <i x="448" s="1"/>
        <i x="435" s="1"/>
        <i x="432" s="1"/>
        <i x="126" s="1"/>
        <i x="278" s="1"/>
        <i x="0" s="1"/>
        <i x="423" s="1"/>
        <i x="364" s="1"/>
        <i x="257" s="1"/>
        <i x="83" s="1"/>
        <i x="309" s="1"/>
        <i x="192" s="1"/>
        <i x="13" s="1"/>
        <i x="308" s="1"/>
        <i x="253" s="1"/>
        <i x="99" s="1"/>
        <i x="458" s="1"/>
        <i x="333" s="1"/>
        <i x="476" s="1"/>
        <i x="111" s="1"/>
        <i x="431" s="1"/>
        <i x="379" s="1"/>
        <i x="471" s="1"/>
        <i x="440" s="1"/>
        <i x="112" s="1"/>
        <i x="237" s="1"/>
        <i x="335" s="1"/>
        <i x="202" s="1"/>
        <i x="210" s="1"/>
        <i x="238" s="1"/>
        <i x="149" s="1"/>
        <i x="302" s="1"/>
        <i x="36" s="1"/>
        <i x="279" s="1"/>
        <i x="304" s="1"/>
        <i x="199" s="1"/>
        <i x="415" s="1"/>
        <i x="132" s="1"/>
        <i x="96" s="1"/>
        <i x="412" s="1"/>
        <i x="360" s="1"/>
        <i x="248" s="1"/>
        <i x="147" s="1"/>
        <i x="74" s="1"/>
        <i x="417" s="1"/>
        <i x="371" s="1"/>
        <i x="401" s="1"/>
        <i x="185" s="1"/>
        <i x="232" s="1"/>
        <i x="466" s="1"/>
        <i x="332" s="1"/>
        <i x="163" s="1"/>
        <i x="234" s="1"/>
        <i x="269" s="1"/>
        <i x="289" s="1"/>
        <i x="78" s="1"/>
        <i x="370" s="1"/>
        <i x="30" s="1"/>
        <i x="122" s="1"/>
        <i x="407" s="1"/>
        <i x="341" s="1"/>
        <i x="328" s="1"/>
        <i x="61" s="1"/>
        <i x="358" s="1"/>
        <i x="43" s="1"/>
        <i x="222" s="1"/>
        <i x="87" s="1"/>
        <i x="409" s="1"/>
        <i x="108" s="1"/>
        <i x="69" s="1"/>
        <i x="342" s="1"/>
        <i x="400" s="1"/>
        <i x="195" s="1"/>
        <i x="57" s="1"/>
        <i x="251" s="1"/>
        <i x="229" s="1"/>
        <i x="460" s="1"/>
        <i x="49" s="1"/>
        <i x="330" s="1"/>
        <i x="124" s="1"/>
        <i x="443" s="1"/>
        <i x="296" s="1"/>
        <i x="21" s="1"/>
        <i x="442" s="1"/>
        <i x="95" s="1"/>
        <i x="268" s="1"/>
        <i x="266" s="1"/>
        <i x="254" s="1"/>
        <i x="306" s="1"/>
        <i x="376" s="1"/>
        <i x="462" s="1"/>
        <i x="461" s="1"/>
        <i x="244" s="1"/>
        <i x="135" s="1"/>
        <i x="150" s="1"/>
        <i x="236" s="1"/>
        <i x="65" s="1"/>
        <i x="428" s="1"/>
        <i x="143" s="1"/>
        <i x="426" s="1"/>
        <i x="383" s="1"/>
        <i x="137" s="1"/>
        <i x="148" s="1"/>
        <i x="14" s="1"/>
        <i x="361" s="1"/>
        <i x="273" s="1"/>
        <i x="338" s="1"/>
        <i x="416" s="1"/>
        <i x="345" s="1"/>
        <i x="465" s="1"/>
        <i x="322" s="1"/>
        <i x="367" s="1"/>
        <i x="301" s="1"/>
        <i x="420" s="1"/>
        <i x="402" s="1"/>
        <i x="363" s="1"/>
        <i x="231" s="1"/>
        <i x="381" s="1"/>
        <i x="300" s="1"/>
        <i x="227" s="1"/>
        <i x="107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Employment_Status" sourceName="Employment_Status">
  <pivotTables>
    <pivotTable tabId="4" name="PivotTable2"/>
    <pivotTable tabId="4" name="PivotTable8"/>
    <pivotTable tabId="4" name="PivotTable1"/>
    <pivotTable tabId="4" name="PivotTable14"/>
    <pivotTable tabId="4" name="PivotTable3"/>
    <pivotTable tabId="4" name="PivotTable7"/>
    <pivotTable tabId="4" name="PivotTable9"/>
    <pivotTable tabId="4" name="PivotTable10"/>
    <pivotTable tabId="4" name="PivotTable11"/>
    <pivotTable tabId="4" name="PivotTable12"/>
    <pivotTable tabId="4" name="PivotTable13"/>
    <pivotTable tabId="4" name="PivotTable4"/>
    <pivotTable tabId="4" name="PivotTable5"/>
    <pivotTable tabId="4" name="PivotTable6"/>
    <pivotTable tabId="4" name="PivotTable15"/>
    <pivotTable tabId="3" name="PivotTable1"/>
    <pivotTable tabId="5" name="PivotTable1"/>
    <pivotTable tabId="5" name="PivotTable2"/>
    <pivotTable tabId="5" name="PivotTable3"/>
    <pivotTable tabId="5" name="PivotTable4"/>
    <pivotTable tabId="5" name="PivotTable5"/>
    <pivotTable tabId="5" name="PivotTable6"/>
    <pivotTable tabId="5" name="PivotTable7"/>
    <pivotTable tabId="5" name="PivotTable8"/>
    <pivotTable tabId="5" name="PivotTable10"/>
    <pivotTable tabId="5" name="PivotTable11"/>
    <pivotTable tabId="5" name="PivotTable12"/>
    <pivotTable tabId="5" name="PivotTable13"/>
    <pivotTable tabId="5" name="PivotTable9"/>
  </pivotTables>
  <data>
    <tabular pivotCacheId="1">
      <items count="2">
        <i x="0" s="1"/>
        <i x="1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Location" sourceName="Location">
  <pivotTables>
    <pivotTable tabId="4" name="PivotTable2"/>
    <pivotTable tabId="4" name="PivotTable8"/>
    <pivotTable tabId="4" name="PivotTable1"/>
    <pivotTable tabId="4" name="PivotTable14"/>
    <pivotTable tabId="4" name="PivotTable3"/>
    <pivotTable tabId="4" name="PivotTable7"/>
    <pivotTable tabId="4" name="PivotTable9"/>
    <pivotTable tabId="4" name="PivotTable10"/>
    <pivotTable tabId="4" name="PivotTable11"/>
    <pivotTable tabId="4" name="PivotTable12"/>
    <pivotTable tabId="4" name="PivotTable13"/>
    <pivotTable tabId="4" name="PivotTable4"/>
    <pivotTable tabId="4" name="PivotTable5"/>
    <pivotTable tabId="4" name="PivotTable6"/>
    <pivotTable tabId="4" name="PivotTable15"/>
    <pivotTable tabId="3" name="PivotTable1"/>
    <pivotTable tabId="5" name="PivotTable1"/>
    <pivotTable tabId="5" name="PivotTable2"/>
    <pivotTable tabId="5" name="PivotTable3"/>
    <pivotTable tabId="5" name="PivotTable4"/>
    <pivotTable tabId="5" name="PivotTable5"/>
    <pivotTable tabId="5" name="PivotTable6"/>
    <pivotTable tabId="5" name="PivotTable7"/>
    <pivotTable tabId="5" name="PivotTable8"/>
    <pivotTable tabId="5" name="PivotTable10"/>
    <pivotTable tabId="5" name="PivotTable11"/>
    <pivotTable tabId="5" name="PivotTable12"/>
    <pivotTable tabId="5" name="PivotTable13"/>
    <pivotTable tabId="5" name="PivotTable9"/>
  </pivotTables>
  <data>
    <tabular pivotCacheId="1">
      <items count="5">
        <i x="4" s="1"/>
        <i x="0" s="1"/>
        <i x="2" s="1"/>
        <i x="1" s="1"/>
        <i x="3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epartment" sourceName="Department">
  <pivotTables>
    <pivotTable tabId="4" name="PivotTable2"/>
    <pivotTable tabId="4" name="PivotTable8"/>
    <pivotTable tabId="4" name="PivotTable1"/>
    <pivotTable tabId="4" name="PivotTable14"/>
    <pivotTable tabId="4" name="PivotTable3"/>
    <pivotTable tabId="4" name="PivotTable7"/>
    <pivotTable tabId="4" name="PivotTable9"/>
    <pivotTable tabId="4" name="PivotTable10"/>
    <pivotTable tabId="4" name="PivotTable11"/>
    <pivotTable tabId="4" name="PivotTable12"/>
    <pivotTable tabId="4" name="PivotTable13"/>
    <pivotTable tabId="4" name="PivotTable4"/>
    <pivotTable tabId="4" name="PivotTable5"/>
    <pivotTable tabId="4" name="PivotTable6"/>
    <pivotTable tabId="4" name="PivotTable15"/>
    <pivotTable tabId="3" name="PivotTable1"/>
    <pivotTable tabId="5" name="PivotTable1"/>
    <pivotTable tabId="5" name="PivotTable2"/>
    <pivotTable tabId="5" name="PivotTable3"/>
    <pivotTable tabId="5" name="PivotTable4"/>
    <pivotTable tabId="5" name="PivotTable5"/>
    <pivotTable tabId="5" name="PivotTable6"/>
    <pivotTable tabId="5" name="PivotTable7"/>
    <pivotTable tabId="5" name="PivotTable8"/>
    <pivotTable tabId="5" name="PivotTable10"/>
    <pivotTable tabId="5" name="PivotTable11"/>
    <pivotTable tabId="5" name="PivotTable12"/>
    <pivotTable tabId="5" name="PivotTable13"/>
    <pivotTable tabId="5" name="PivotTable9"/>
  </pivotTables>
  <data>
    <tabular pivotCacheId="1">
      <items count="8">
        <i x="0" s="1"/>
        <i x="3" s="1"/>
        <i x="6" s="1"/>
        <i x="1" s="1"/>
        <i x="2" s="1"/>
        <i x="5" s="1"/>
        <i x="7" s="1"/>
        <i x="4" s="1"/>
      </items>
    </tabular>
  </data>
  <extLst/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Gender" sourceName="Gender">
  <pivotTables>
    <pivotTable tabId="4" name="PivotTable2"/>
    <pivotTable tabId="4" name="PivotTable8"/>
    <pivotTable tabId="4" name="PivotTable1"/>
    <pivotTable tabId="4" name="PivotTable10"/>
    <pivotTable tabId="4" name="PivotTable11"/>
    <pivotTable tabId="4" name="PivotTable12"/>
    <pivotTable tabId="4" name="PivotTable13"/>
    <pivotTable tabId="4" name="PivotTable4"/>
    <pivotTable tabId="4" name="PivotTable5"/>
    <pivotTable tabId="4" name="PivotTable6"/>
    <pivotTable tabId="4" name="PivotTable3"/>
    <pivotTable tabId="4" name="PivotTable7"/>
    <pivotTable tabId="4" name="PivotTable9"/>
    <pivotTable tabId="4" name="PivotTable14"/>
    <pivotTable tabId="4" name="PivotTable15"/>
    <pivotTable tabId="3" name="PivotTable1"/>
    <pivotTable tabId="5" name="PivotTable1"/>
    <pivotTable tabId="5" name="PivotTable2"/>
    <pivotTable tabId="5" name="PivotTable3"/>
    <pivotTable tabId="5" name="PivotTable4"/>
    <pivotTable tabId="5" name="PivotTable5"/>
    <pivotTable tabId="5" name="PivotTable6"/>
    <pivotTable tabId="5" name="PivotTable7"/>
    <pivotTable tabId="5" name="PivotTable8"/>
    <pivotTable tabId="5" name="PivotTable10"/>
    <pivotTable tabId="5" name="PivotTable11"/>
    <pivotTable tabId="5" name="PivotTable12"/>
    <pivotTable tabId="5" name="PivotTable13"/>
    <pivotTable tabId="5" name="PivotTable9"/>
  </pivotTables>
  <data>
    <tabular pivotCacheId="1">
      <items count="2">
        <i x="1" s="1"/>
        <i x="0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Department" cache="Slicer_Department" caption="Department" columnCount="2" style="SlicerStyleLight3" rowHeight="246888"/>
  <slicer name="Location" cache="Slicer_Location" caption="Location" columnCount="2" style="SlicerStyleLight3" rowHeight="246888"/>
  <slicer name="Employment_Status" cache="Slicer_Employment_Status" caption="Employment_Status" columnCount="2" style="SlicerStyleLight3" rowHeight="246888"/>
  <slicer name="Gender" cache="Slicer_Gender" caption="Gender" columnCount="2" style="SlicerStyleLight3" rowHeight="246888"/>
  <slicer name="Joining_Date" cache="Slicer_Joining_Date" caption="Joining_Date" startItem="24" style="SlicerStyleLight3" rowHeight="18288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pivotTable" Target="../pivotTables/pivotTable9.xml"/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6" Type="http://schemas.openxmlformats.org/officeDocument/2006/relationships/drawing" Target="../drawings/drawing1.xml"/><Relationship Id="rId15" Type="http://schemas.openxmlformats.org/officeDocument/2006/relationships/pivotTable" Target="../pivotTables/pivotTable15.xml"/><Relationship Id="rId14" Type="http://schemas.openxmlformats.org/officeDocument/2006/relationships/pivotTable" Target="../pivotTables/pivotTable14.xml"/><Relationship Id="rId13" Type="http://schemas.openxmlformats.org/officeDocument/2006/relationships/pivotTable" Target="../pivotTables/pivotTable13.xml"/><Relationship Id="rId12" Type="http://schemas.openxmlformats.org/officeDocument/2006/relationships/pivotTable" Target="../pivotTables/pivotTable12.xml"/><Relationship Id="rId11" Type="http://schemas.openxmlformats.org/officeDocument/2006/relationships/pivotTable" Target="../pivotTables/pivotTable11.xml"/><Relationship Id="rId10" Type="http://schemas.openxmlformats.org/officeDocument/2006/relationships/pivotTable" Target="../pivotTables/pivotTable10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pivotTable" Target="../pivotTables/pivotTable24.xml"/><Relationship Id="rId8" Type="http://schemas.openxmlformats.org/officeDocument/2006/relationships/pivotTable" Target="../pivotTables/pivotTable23.xml"/><Relationship Id="rId7" Type="http://schemas.openxmlformats.org/officeDocument/2006/relationships/pivotTable" Target="../pivotTables/pivotTable22.xml"/><Relationship Id="rId6" Type="http://schemas.openxmlformats.org/officeDocument/2006/relationships/pivotTable" Target="../pivotTables/pivotTable21.xml"/><Relationship Id="rId5" Type="http://schemas.openxmlformats.org/officeDocument/2006/relationships/pivotTable" Target="../pivotTables/pivotTable20.xml"/><Relationship Id="rId4" Type="http://schemas.openxmlformats.org/officeDocument/2006/relationships/pivotTable" Target="../pivotTables/pivotTable19.xml"/><Relationship Id="rId3" Type="http://schemas.openxmlformats.org/officeDocument/2006/relationships/pivotTable" Target="../pivotTables/pivotTable18.xml"/><Relationship Id="rId2" Type="http://schemas.openxmlformats.org/officeDocument/2006/relationships/pivotTable" Target="../pivotTables/pivotTable17.xml"/><Relationship Id="rId14" Type="http://schemas.openxmlformats.org/officeDocument/2006/relationships/drawing" Target="../drawings/drawing2.xml"/><Relationship Id="rId13" Type="http://schemas.openxmlformats.org/officeDocument/2006/relationships/pivotTable" Target="../pivotTables/pivotTable28.xml"/><Relationship Id="rId12" Type="http://schemas.openxmlformats.org/officeDocument/2006/relationships/pivotTable" Target="../pivotTables/pivotTable27.xml"/><Relationship Id="rId11" Type="http://schemas.openxmlformats.org/officeDocument/2006/relationships/pivotTable" Target="../pivotTables/pivotTable26.xml"/><Relationship Id="rId10" Type="http://schemas.openxmlformats.org/officeDocument/2006/relationships/pivotTable" Target="../pivotTables/pivotTable25.xml"/><Relationship Id="rId1" Type="http://schemas.openxmlformats.org/officeDocument/2006/relationships/pivotTable" Target="../pivotTables/pivotTable16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1"/>
  <sheetViews>
    <sheetView showGridLines="0" topLeftCell="C1" workbookViewId="0">
      <pane ySplit="1" topLeftCell="A2" activePane="bottomLeft" state="frozen"/>
      <selection/>
      <selection pane="bottomLeft" activeCell="H3" sqref="H3"/>
    </sheetView>
  </sheetViews>
  <sheetFormatPr defaultColWidth="9" defaultRowHeight="15"/>
  <cols>
    <col min="1" max="1" width="14" customWidth="1"/>
    <col min="2" max="2" width="22" customWidth="1"/>
    <col min="3" max="3" width="12" customWidth="1"/>
    <col min="4" max="5" width="16" customWidth="1"/>
    <col min="6" max="7" width="16" style="45" customWidth="1"/>
    <col min="8" max="8" width="18" customWidth="1"/>
    <col min="9" max="9" width="14" customWidth="1"/>
    <col min="10" max="10" width="18" customWidth="1"/>
    <col min="11" max="11" width="20" customWidth="1"/>
  </cols>
  <sheetData>
    <row r="1" spans="1:13">
      <c r="A1" s="42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6" t="s">
        <v>5</v>
      </c>
      <c r="G1" s="46" t="s">
        <v>6</v>
      </c>
      <c r="H1" s="42" t="s">
        <v>7</v>
      </c>
      <c r="I1" s="42" t="s">
        <v>8</v>
      </c>
      <c r="J1" s="42" t="s">
        <v>9</v>
      </c>
      <c r="K1" s="42" t="s">
        <v>10</v>
      </c>
      <c r="L1" s="43"/>
      <c r="M1" s="43"/>
    </row>
    <row r="2" spans="1:13">
      <c r="A2" s="43" t="s">
        <v>11</v>
      </c>
      <c r="B2" s="43" t="s">
        <v>12</v>
      </c>
      <c r="C2" s="43" t="s">
        <v>13</v>
      </c>
      <c r="D2" s="43" t="s">
        <v>14</v>
      </c>
      <c r="E2" s="43" t="s">
        <v>15</v>
      </c>
      <c r="F2" s="47">
        <v>45021</v>
      </c>
      <c r="G2" s="43">
        <f>YEAR(F2)</f>
        <v>2023</v>
      </c>
      <c r="H2" s="43">
        <v>7.4</v>
      </c>
      <c r="I2" s="48">
        <v>150000</v>
      </c>
      <c r="J2" s="44">
        <v>12</v>
      </c>
      <c r="K2" s="43" t="s">
        <v>16</v>
      </c>
      <c r="L2" s="43"/>
      <c r="M2" s="43"/>
    </row>
    <row r="3" spans="1:13">
      <c r="A3" s="43" t="s">
        <v>17</v>
      </c>
      <c r="B3" s="43" t="s">
        <v>18</v>
      </c>
      <c r="C3" s="43" t="s">
        <v>19</v>
      </c>
      <c r="D3" s="43" t="s">
        <v>20</v>
      </c>
      <c r="E3" s="43" t="s">
        <v>21</v>
      </c>
      <c r="F3" s="47">
        <v>44470</v>
      </c>
      <c r="G3" s="43">
        <f t="shared" ref="G3:G66" si="0">YEAR(F3)</f>
        <v>2021</v>
      </c>
      <c r="H3" s="43">
        <v>4.9</v>
      </c>
      <c r="I3" s="48">
        <v>53000</v>
      </c>
      <c r="J3" s="44">
        <v>5.4</v>
      </c>
      <c r="K3" s="43" t="s">
        <v>16</v>
      </c>
      <c r="L3" s="43"/>
      <c r="M3" s="43"/>
    </row>
    <row r="4" spans="1:13">
      <c r="A4" s="43" t="s">
        <v>22</v>
      </c>
      <c r="B4" s="43" t="s">
        <v>23</v>
      </c>
      <c r="C4" s="43" t="s">
        <v>19</v>
      </c>
      <c r="D4" s="43" t="s">
        <v>24</v>
      </c>
      <c r="E4" s="43" t="s">
        <v>25</v>
      </c>
      <c r="F4" s="47">
        <v>42031</v>
      </c>
      <c r="G4" s="43">
        <f t="shared" si="0"/>
        <v>2015</v>
      </c>
      <c r="H4" s="43">
        <v>11.6</v>
      </c>
      <c r="I4" s="48">
        <v>60000</v>
      </c>
      <c r="J4" s="44">
        <v>7.2</v>
      </c>
      <c r="K4" s="43" t="s">
        <v>16</v>
      </c>
      <c r="L4" s="43"/>
      <c r="M4" s="43"/>
    </row>
    <row r="5" spans="1:13">
      <c r="A5" s="43" t="s">
        <v>26</v>
      </c>
      <c r="B5" s="43" t="s">
        <v>27</v>
      </c>
      <c r="C5" s="43" t="s">
        <v>19</v>
      </c>
      <c r="D5" s="43" t="s">
        <v>28</v>
      </c>
      <c r="E5" s="43" t="s">
        <v>21</v>
      </c>
      <c r="F5" s="47">
        <v>43413</v>
      </c>
      <c r="G5" s="43">
        <f t="shared" si="0"/>
        <v>2018</v>
      </c>
      <c r="H5" s="43">
        <v>7.8</v>
      </c>
      <c r="I5" s="48">
        <v>78000</v>
      </c>
      <c r="J5" s="44">
        <v>6.5</v>
      </c>
      <c r="K5" s="43" t="s">
        <v>16</v>
      </c>
      <c r="L5" s="43"/>
      <c r="M5" s="43"/>
    </row>
    <row r="6" spans="1:13">
      <c r="A6" s="43" t="s">
        <v>29</v>
      </c>
      <c r="B6" s="43" t="s">
        <v>30</v>
      </c>
      <c r="C6" s="43" t="s">
        <v>19</v>
      </c>
      <c r="D6" s="43" t="s">
        <v>31</v>
      </c>
      <c r="E6" s="43" t="s">
        <v>21</v>
      </c>
      <c r="F6" s="47">
        <v>44266</v>
      </c>
      <c r="G6" s="43">
        <f t="shared" si="0"/>
        <v>2021</v>
      </c>
      <c r="H6" s="43">
        <v>5.5</v>
      </c>
      <c r="I6" s="48">
        <v>50000</v>
      </c>
      <c r="J6" s="44">
        <v>8.2</v>
      </c>
      <c r="K6" s="43" t="s">
        <v>16</v>
      </c>
      <c r="L6" s="43" t="s">
        <v>32</v>
      </c>
      <c r="M6" s="43">
        <f>COUNTIF(K2:K501,K484)</f>
        <v>448</v>
      </c>
    </row>
    <row r="7" spans="1:13">
      <c r="A7" s="43" t="s">
        <v>33</v>
      </c>
      <c r="B7" s="43" t="s">
        <v>34</v>
      </c>
      <c r="C7" s="43" t="s">
        <v>13</v>
      </c>
      <c r="D7" s="43" t="s">
        <v>20</v>
      </c>
      <c r="E7" s="43" t="s">
        <v>21</v>
      </c>
      <c r="F7" s="47">
        <v>43190</v>
      </c>
      <c r="G7" s="43">
        <f t="shared" si="0"/>
        <v>2018</v>
      </c>
      <c r="H7" s="43">
        <v>8.4</v>
      </c>
      <c r="I7" s="48">
        <v>60000</v>
      </c>
      <c r="J7" s="44">
        <v>6.2</v>
      </c>
      <c r="K7" s="43" t="s">
        <v>16</v>
      </c>
      <c r="L7" s="43" t="s">
        <v>35</v>
      </c>
      <c r="M7" s="43">
        <f>COUNTIF(K2:K501,K487)</f>
        <v>52</v>
      </c>
    </row>
    <row r="8" spans="1:13">
      <c r="A8" s="43" t="s">
        <v>36</v>
      </c>
      <c r="B8" s="43" t="s">
        <v>37</v>
      </c>
      <c r="C8" s="43" t="s">
        <v>13</v>
      </c>
      <c r="D8" s="43" t="s">
        <v>28</v>
      </c>
      <c r="E8" s="43" t="s">
        <v>25</v>
      </c>
      <c r="F8" s="47">
        <v>42671</v>
      </c>
      <c r="G8" s="43">
        <f t="shared" si="0"/>
        <v>2016</v>
      </c>
      <c r="H8" s="43">
        <v>9.8</v>
      </c>
      <c r="I8" s="48">
        <v>92000</v>
      </c>
      <c r="J8" s="44">
        <v>6.5</v>
      </c>
      <c r="K8" s="43" t="s">
        <v>16</v>
      </c>
      <c r="L8" s="43"/>
      <c r="M8" s="43"/>
    </row>
    <row r="9" spans="1:13">
      <c r="A9" s="43" t="s">
        <v>38</v>
      </c>
      <c r="B9" s="43" t="s">
        <v>39</v>
      </c>
      <c r="C9" s="43" t="s">
        <v>13</v>
      </c>
      <c r="D9" s="43" t="s">
        <v>20</v>
      </c>
      <c r="E9" s="43" t="s">
        <v>25</v>
      </c>
      <c r="F9" s="47">
        <v>42674</v>
      </c>
      <c r="G9" s="43">
        <f t="shared" si="0"/>
        <v>2016</v>
      </c>
      <c r="H9" s="43">
        <v>9.8</v>
      </c>
      <c r="I9" s="48">
        <v>109000</v>
      </c>
      <c r="J9" s="44">
        <v>8.8</v>
      </c>
      <c r="K9" s="43" t="s">
        <v>16</v>
      </c>
      <c r="L9" s="43"/>
      <c r="M9" s="43"/>
    </row>
    <row r="10" spans="1:13">
      <c r="A10" s="43" t="s">
        <v>40</v>
      </c>
      <c r="B10" s="43" t="s">
        <v>41</v>
      </c>
      <c r="C10" s="43" t="s">
        <v>13</v>
      </c>
      <c r="D10" s="43" t="s">
        <v>42</v>
      </c>
      <c r="E10" s="43" t="s">
        <v>25</v>
      </c>
      <c r="F10" s="47">
        <v>42943</v>
      </c>
      <c r="G10" s="43">
        <f t="shared" si="0"/>
        <v>2017</v>
      </c>
      <c r="H10" s="43">
        <v>9.1</v>
      </c>
      <c r="I10" s="48">
        <v>90000</v>
      </c>
      <c r="J10" s="44">
        <v>8.4</v>
      </c>
      <c r="K10" s="43" t="s">
        <v>32</v>
      </c>
      <c r="L10" s="43"/>
      <c r="M10" s="43"/>
    </row>
    <row r="11" spans="1:13">
      <c r="A11" s="43" t="s">
        <v>43</v>
      </c>
      <c r="B11" s="43" t="s">
        <v>44</v>
      </c>
      <c r="C11" s="43" t="s">
        <v>13</v>
      </c>
      <c r="D11" s="43" t="s">
        <v>42</v>
      </c>
      <c r="E11" s="43" t="s">
        <v>21</v>
      </c>
      <c r="F11" s="47">
        <v>44689</v>
      </c>
      <c r="G11" s="43">
        <f t="shared" si="0"/>
        <v>2022</v>
      </c>
      <c r="H11" s="43">
        <v>4.3</v>
      </c>
      <c r="I11" s="48">
        <v>69000</v>
      </c>
      <c r="J11" s="44">
        <v>7.7</v>
      </c>
      <c r="K11" s="43" t="s">
        <v>16</v>
      </c>
      <c r="L11" s="43"/>
      <c r="M11" s="43"/>
    </row>
    <row r="12" spans="1:13">
      <c r="A12" s="43" t="s">
        <v>45</v>
      </c>
      <c r="B12" s="43" t="s">
        <v>46</v>
      </c>
      <c r="C12" s="43" t="s">
        <v>19</v>
      </c>
      <c r="D12" s="43" t="s">
        <v>20</v>
      </c>
      <c r="E12" s="43" t="s">
        <v>25</v>
      </c>
      <c r="F12" s="47">
        <v>44212</v>
      </c>
      <c r="G12" s="43">
        <f t="shared" si="0"/>
        <v>2021</v>
      </c>
      <c r="H12" s="43">
        <v>5.6</v>
      </c>
      <c r="I12" s="48">
        <v>83000</v>
      </c>
      <c r="J12" s="44">
        <v>7.5</v>
      </c>
      <c r="K12" s="43" t="s">
        <v>16</v>
      </c>
      <c r="L12" s="43"/>
      <c r="M12" s="43"/>
    </row>
    <row r="13" spans="1:13">
      <c r="A13" s="43" t="s">
        <v>47</v>
      </c>
      <c r="B13" s="43" t="s">
        <v>48</v>
      </c>
      <c r="C13" s="43" t="s">
        <v>19</v>
      </c>
      <c r="D13" s="43" t="s">
        <v>24</v>
      </c>
      <c r="E13" s="43" t="s">
        <v>15</v>
      </c>
      <c r="F13" s="47">
        <v>42197</v>
      </c>
      <c r="G13" s="43">
        <f t="shared" si="0"/>
        <v>2015</v>
      </c>
      <c r="H13" s="43">
        <v>11.1</v>
      </c>
      <c r="I13" s="48">
        <v>54000</v>
      </c>
      <c r="J13" s="44">
        <v>6.3</v>
      </c>
      <c r="K13" s="43" t="s">
        <v>16</v>
      </c>
      <c r="L13" s="43"/>
      <c r="M13" s="43"/>
    </row>
    <row r="14" spans="1:13">
      <c r="A14" s="43" t="s">
        <v>49</v>
      </c>
      <c r="B14" s="43" t="s">
        <v>50</v>
      </c>
      <c r="C14" s="43" t="s">
        <v>13</v>
      </c>
      <c r="D14" s="43" t="s">
        <v>28</v>
      </c>
      <c r="E14" s="43" t="s">
        <v>15</v>
      </c>
      <c r="F14" s="47">
        <v>43568</v>
      </c>
      <c r="G14" s="43">
        <f t="shared" si="0"/>
        <v>2019</v>
      </c>
      <c r="H14" s="43">
        <v>7.4</v>
      </c>
      <c r="I14" s="48">
        <v>104000</v>
      </c>
      <c r="J14" s="44">
        <v>5</v>
      </c>
      <c r="K14" s="43" t="s">
        <v>16</v>
      </c>
      <c r="L14" s="43"/>
      <c r="M14" s="43"/>
    </row>
    <row r="15" spans="1:13">
      <c r="A15" s="43" t="s">
        <v>51</v>
      </c>
      <c r="B15" s="43" t="s">
        <v>52</v>
      </c>
      <c r="C15" s="43" t="s">
        <v>13</v>
      </c>
      <c r="D15" s="43" t="s">
        <v>20</v>
      </c>
      <c r="E15" s="43" t="s">
        <v>53</v>
      </c>
      <c r="F15" s="47">
        <v>45080</v>
      </c>
      <c r="G15" s="43">
        <f t="shared" si="0"/>
        <v>2023</v>
      </c>
      <c r="H15" s="43">
        <v>3.2</v>
      </c>
      <c r="I15" s="48">
        <v>84000</v>
      </c>
      <c r="J15" s="44">
        <v>7</v>
      </c>
      <c r="K15" s="43" t="s">
        <v>16</v>
      </c>
      <c r="L15" s="43"/>
      <c r="M15" s="43"/>
    </row>
    <row r="16" spans="1:13">
      <c r="A16" s="43" t="s">
        <v>54</v>
      </c>
      <c r="B16" s="43" t="s">
        <v>55</v>
      </c>
      <c r="C16" s="43" t="s">
        <v>19</v>
      </c>
      <c r="D16" s="43" t="s">
        <v>28</v>
      </c>
      <c r="E16" s="43" t="s">
        <v>56</v>
      </c>
      <c r="F16" s="47">
        <v>45911</v>
      </c>
      <c r="G16" s="43">
        <f t="shared" si="0"/>
        <v>2025</v>
      </c>
      <c r="H16" s="43">
        <v>1</v>
      </c>
      <c r="I16" s="48">
        <v>78000</v>
      </c>
      <c r="J16" s="44">
        <v>9.3</v>
      </c>
      <c r="K16" s="43" t="s">
        <v>16</v>
      </c>
      <c r="L16" s="43"/>
      <c r="M16" s="43"/>
    </row>
    <row r="17" spans="1:13">
      <c r="A17" s="43" t="s">
        <v>57</v>
      </c>
      <c r="B17" s="43" t="s">
        <v>58</v>
      </c>
      <c r="C17" s="43" t="s">
        <v>13</v>
      </c>
      <c r="D17" s="43" t="s">
        <v>59</v>
      </c>
      <c r="E17" s="43" t="s">
        <v>56</v>
      </c>
      <c r="F17" s="47">
        <v>44499</v>
      </c>
      <c r="G17" s="43">
        <f t="shared" si="0"/>
        <v>2021</v>
      </c>
      <c r="H17" s="43">
        <v>4.8</v>
      </c>
      <c r="I17" s="48">
        <v>52000</v>
      </c>
      <c r="J17" s="44">
        <v>7.2</v>
      </c>
      <c r="K17" s="43" t="s">
        <v>16</v>
      </c>
      <c r="L17" s="43"/>
      <c r="M17" s="43"/>
    </row>
    <row r="18" spans="1:13">
      <c r="A18" s="43" t="s">
        <v>60</v>
      </c>
      <c r="B18" s="43" t="s">
        <v>61</v>
      </c>
      <c r="C18" s="43" t="s">
        <v>13</v>
      </c>
      <c r="D18" s="43" t="s">
        <v>31</v>
      </c>
      <c r="E18" s="43" t="s">
        <v>53</v>
      </c>
      <c r="F18" s="47">
        <v>44458</v>
      </c>
      <c r="G18" s="43">
        <f t="shared" si="0"/>
        <v>2021</v>
      </c>
      <c r="H18" s="43">
        <v>4.9</v>
      </c>
      <c r="I18" s="48">
        <v>52000</v>
      </c>
      <c r="J18" s="44">
        <v>7</v>
      </c>
      <c r="K18" s="43" t="s">
        <v>16</v>
      </c>
      <c r="L18" s="43"/>
      <c r="M18" s="43"/>
    </row>
    <row r="19" spans="1:13">
      <c r="A19" s="43" t="s">
        <v>62</v>
      </c>
      <c r="B19" s="43" t="s">
        <v>63</v>
      </c>
      <c r="C19" s="43" t="s">
        <v>19</v>
      </c>
      <c r="D19" s="43" t="s">
        <v>59</v>
      </c>
      <c r="E19" s="43" t="s">
        <v>56</v>
      </c>
      <c r="F19" s="47">
        <v>42327</v>
      </c>
      <c r="G19" s="43">
        <f t="shared" si="0"/>
        <v>2015</v>
      </c>
      <c r="H19" s="43">
        <v>10.8</v>
      </c>
      <c r="I19" s="48">
        <v>45000</v>
      </c>
      <c r="J19" s="44">
        <v>7.5</v>
      </c>
      <c r="K19" s="43" t="s">
        <v>16</v>
      </c>
      <c r="L19" s="43"/>
      <c r="M19" s="43"/>
    </row>
    <row r="20" spans="1:13">
      <c r="A20" s="43" t="s">
        <v>64</v>
      </c>
      <c r="B20" s="43" t="s">
        <v>65</v>
      </c>
      <c r="C20" s="43" t="s">
        <v>13</v>
      </c>
      <c r="D20" s="43" t="s">
        <v>42</v>
      </c>
      <c r="E20" s="43" t="s">
        <v>15</v>
      </c>
      <c r="F20" s="47">
        <v>43951</v>
      </c>
      <c r="G20" s="43">
        <f t="shared" si="0"/>
        <v>2020</v>
      </c>
      <c r="H20" s="43">
        <v>6.3</v>
      </c>
      <c r="I20" s="48">
        <v>73000</v>
      </c>
      <c r="J20" s="44">
        <v>8.2</v>
      </c>
      <c r="K20" s="43" t="s">
        <v>16</v>
      </c>
      <c r="L20" s="43"/>
      <c r="M20" s="43"/>
    </row>
    <row r="21" spans="1:13">
      <c r="A21" s="43" t="s">
        <v>66</v>
      </c>
      <c r="B21" s="43" t="s">
        <v>67</v>
      </c>
      <c r="C21" s="43" t="s">
        <v>13</v>
      </c>
      <c r="D21" s="43" t="s">
        <v>68</v>
      </c>
      <c r="E21" s="43" t="s">
        <v>25</v>
      </c>
      <c r="F21" s="47">
        <v>44925</v>
      </c>
      <c r="G21" s="43">
        <f t="shared" si="0"/>
        <v>2022</v>
      </c>
      <c r="H21" s="43">
        <v>3.7</v>
      </c>
      <c r="I21" s="48">
        <v>77000</v>
      </c>
      <c r="J21" s="44">
        <v>8.7</v>
      </c>
      <c r="K21" s="43" t="s">
        <v>16</v>
      </c>
      <c r="L21" s="43"/>
      <c r="M21" s="43"/>
    </row>
    <row r="22" spans="1:13">
      <c r="A22" s="43" t="s">
        <v>69</v>
      </c>
      <c r="B22" s="43" t="s">
        <v>70</v>
      </c>
      <c r="C22" s="43" t="s">
        <v>19</v>
      </c>
      <c r="D22" s="43" t="s">
        <v>28</v>
      </c>
      <c r="E22" s="43" t="s">
        <v>21</v>
      </c>
      <c r="F22" s="47">
        <v>42267</v>
      </c>
      <c r="G22" s="43">
        <f t="shared" si="0"/>
        <v>2015</v>
      </c>
      <c r="H22" s="43">
        <v>10.9</v>
      </c>
      <c r="I22" s="48">
        <v>88000</v>
      </c>
      <c r="J22" s="44">
        <v>8.9</v>
      </c>
      <c r="K22" s="43" t="s">
        <v>16</v>
      </c>
      <c r="L22" s="43"/>
      <c r="M22" s="43"/>
    </row>
    <row r="23" spans="1:13">
      <c r="A23" s="43" t="s">
        <v>71</v>
      </c>
      <c r="B23" s="43" t="s">
        <v>72</v>
      </c>
      <c r="C23" s="43" t="s">
        <v>13</v>
      </c>
      <c r="D23" s="43" t="s">
        <v>68</v>
      </c>
      <c r="E23" s="43" t="s">
        <v>21</v>
      </c>
      <c r="F23" s="47">
        <v>45713</v>
      </c>
      <c r="G23" s="43">
        <f t="shared" si="0"/>
        <v>2025</v>
      </c>
      <c r="H23" s="43">
        <v>1.5</v>
      </c>
      <c r="I23" s="48">
        <v>42000</v>
      </c>
      <c r="J23" s="44">
        <v>7.7</v>
      </c>
      <c r="K23" s="43" t="s">
        <v>16</v>
      </c>
      <c r="L23" s="43"/>
      <c r="M23" s="43"/>
    </row>
    <row r="24" spans="1:13">
      <c r="A24" s="43" t="s">
        <v>73</v>
      </c>
      <c r="B24" s="43" t="s">
        <v>74</v>
      </c>
      <c r="C24" s="43" t="s">
        <v>13</v>
      </c>
      <c r="D24" s="43" t="s">
        <v>59</v>
      </c>
      <c r="E24" s="43" t="s">
        <v>56</v>
      </c>
      <c r="F24" s="47">
        <v>44213</v>
      </c>
      <c r="G24" s="43">
        <f t="shared" si="0"/>
        <v>2021</v>
      </c>
      <c r="H24" s="43">
        <v>5.6</v>
      </c>
      <c r="I24" s="48">
        <v>48000</v>
      </c>
      <c r="J24" s="44">
        <v>7.1</v>
      </c>
      <c r="K24" s="43" t="s">
        <v>16</v>
      </c>
      <c r="L24" s="43"/>
      <c r="M24" s="43"/>
    </row>
    <row r="25" spans="1:13">
      <c r="A25" s="43" t="s">
        <v>75</v>
      </c>
      <c r="B25" s="43" t="s">
        <v>76</v>
      </c>
      <c r="C25" s="43" t="s">
        <v>13</v>
      </c>
      <c r="D25" s="43" t="s">
        <v>42</v>
      </c>
      <c r="E25" s="43" t="s">
        <v>15</v>
      </c>
      <c r="F25" s="47">
        <v>42402</v>
      </c>
      <c r="G25" s="43">
        <f t="shared" si="0"/>
        <v>2016</v>
      </c>
      <c r="H25" s="43">
        <v>10.6</v>
      </c>
      <c r="I25" s="48">
        <v>80000</v>
      </c>
      <c r="J25" s="44">
        <v>5.3</v>
      </c>
      <c r="K25" s="43" t="s">
        <v>16</v>
      </c>
      <c r="L25" s="43"/>
      <c r="M25" s="43"/>
    </row>
    <row r="26" spans="1:13">
      <c r="A26" s="43" t="s">
        <v>77</v>
      </c>
      <c r="B26" s="43" t="s">
        <v>78</v>
      </c>
      <c r="C26" s="43" t="s">
        <v>19</v>
      </c>
      <c r="D26" s="43" t="s">
        <v>42</v>
      </c>
      <c r="E26" s="43" t="s">
        <v>15</v>
      </c>
      <c r="F26" s="47">
        <v>44681</v>
      </c>
      <c r="G26" s="43">
        <f t="shared" si="0"/>
        <v>2022</v>
      </c>
      <c r="H26" s="43">
        <v>4.3</v>
      </c>
      <c r="I26" s="48">
        <v>79000</v>
      </c>
      <c r="J26" s="44">
        <v>8.4</v>
      </c>
      <c r="K26" s="43" t="s">
        <v>16</v>
      </c>
      <c r="L26" s="43"/>
      <c r="M26" s="43"/>
    </row>
    <row r="27" spans="1:13">
      <c r="A27" s="43" t="s">
        <v>79</v>
      </c>
      <c r="B27" s="43" t="s">
        <v>80</v>
      </c>
      <c r="C27" s="43" t="s">
        <v>13</v>
      </c>
      <c r="D27" s="43" t="s">
        <v>20</v>
      </c>
      <c r="E27" s="43" t="s">
        <v>56</v>
      </c>
      <c r="F27" s="47">
        <v>43733</v>
      </c>
      <c r="G27" s="43">
        <f t="shared" si="0"/>
        <v>2019</v>
      </c>
      <c r="H27" s="43">
        <v>6.9</v>
      </c>
      <c r="I27" s="48">
        <v>73000</v>
      </c>
      <c r="J27" s="44">
        <v>8.1</v>
      </c>
      <c r="K27" s="43" t="s">
        <v>16</v>
      </c>
      <c r="L27" s="43"/>
      <c r="M27" s="43"/>
    </row>
    <row r="28" spans="1:13">
      <c r="A28" s="43" t="s">
        <v>81</v>
      </c>
      <c r="B28" s="43" t="s">
        <v>82</v>
      </c>
      <c r="C28" s="43" t="s">
        <v>13</v>
      </c>
      <c r="D28" s="43" t="s">
        <v>28</v>
      </c>
      <c r="E28" s="43" t="s">
        <v>53</v>
      </c>
      <c r="F28" s="47">
        <v>44259</v>
      </c>
      <c r="G28" s="43">
        <f t="shared" si="0"/>
        <v>2021</v>
      </c>
      <c r="H28" s="43">
        <v>5.5</v>
      </c>
      <c r="I28" s="48">
        <v>57000</v>
      </c>
      <c r="J28" s="44">
        <v>10</v>
      </c>
      <c r="K28" s="43" t="s">
        <v>16</v>
      </c>
      <c r="L28" s="43"/>
      <c r="M28" s="43"/>
    </row>
    <row r="29" spans="1:13">
      <c r="A29" s="43" t="s">
        <v>83</v>
      </c>
      <c r="B29" s="43" t="s">
        <v>84</v>
      </c>
      <c r="C29" s="43" t="s">
        <v>13</v>
      </c>
      <c r="D29" s="43" t="s">
        <v>42</v>
      </c>
      <c r="E29" s="43" t="s">
        <v>15</v>
      </c>
      <c r="F29" s="47">
        <v>43994</v>
      </c>
      <c r="G29" s="43">
        <f t="shared" si="0"/>
        <v>2020</v>
      </c>
      <c r="H29" s="43">
        <v>6.2</v>
      </c>
      <c r="I29" s="48">
        <v>68000</v>
      </c>
      <c r="J29" s="44">
        <v>8.8</v>
      </c>
      <c r="K29" s="43" t="s">
        <v>16</v>
      </c>
      <c r="L29" s="43"/>
      <c r="M29" s="43"/>
    </row>
    <row r="30" spans="1:13">
      <c r="A30" s="43" t="s">
        <v>85</v>
      </c>
      <c r="B30" s="43" t="s">
        <v>86</v>
      </c>
      <c r="C30" s="43" t="s">
        <v>19</v>
      </c>
      <c r="D30" s="43" t="s">
        <v>20</v>
      </c>
      <c r="E30" s="43" t="s">
        <v>15</v>
      </c>
      <c r="F30" s="47">
        <v>43604</v>
      </c>
      <c r="G30" s="43">
        <f t="shared" si="0"/>
        <v>2019</v>
      </c>
      <c r="H30" s="43">
        <v>7.3</v>
      </c>
      <c r="I30" s="48">
        <v>83000</v>
      </c>
      <c r="J30" s="44">
        <v>9.2</v>
      </c>
      <c r="K30" s="43" t="s">
        <v>16</v>
      </c>
      <c r="L30" s="43"/>
      <c r="M30" s="43"/>
    </row>
    <row r="31" spans="1:13">
      <c r="A31" s="43" t="s">
        <v>87</v>
      </c>
      <c r="B31" s="43" t="s">
        <v>88</v>
      </c>
      <c r="C31" s="43" t="s">
        <v>19</v>
      </c>
      <c r="D31" s="43" t="s">
        <v>59</v>
      </c>
      <c r="E31" s="43" t="s">
        <v>53</v>
      </c>
      <c r="F31" s="47">
        <v>44377</v>
      </c>
      <c r="G31" s="43">
        <f t="shared" si="0"/>
        <v>2021</v>
      </c>
      <c r="H31" s="43">
        <v>5.2</v>
      </c>
      <c r="I31" s="48">
        <v>87000</v>
      </c>
      <c r="J31" s="44">
        <v>6.6</v>
      </c>
      <c r="K31" s="43" t="s">
        <v>16</v>
      </c>
      <c r="L31" s="43"/>
      <c r="M31" s="43"/>
    </row>
    <row r="32" spans="1:13">
      <c r="A32" s="43" t="s">
        <v>89</v>
      </c>
      <c r="B32" s="43" t="s">
        <v>18</v>
      </c>
      <c r="C32" s="43" t="s">
        <v>19</v>
      </c>
      <c r="D32" s="43" t="s">
        <v>24</v>
      </c>
      <c r="E32" s="43" t="s">
        <v>56</v>
      </c>
      <c r="F32" s="47">
        <v>45497</v>
      </c>
      <c r="G32" s="43">
        <f t="shared" si="0"/>
        <v>2024</v>
      </c>
      <c r="H32" s="43">
        <v>2.1</v>
      </c>
      <c r="I32" s="48">
        <v>107000</v>
      </c>
      <c r="J32" s="44">
        <v>9</v>
      </c>
      <c r="K32" s="43" t="s">
        <v>16</v>
      </c>
      <c r="L32" s="43"/>
      <c r="M32" s="43"/>
    </row>
    <row r="33" spans="1:13">
      <c r="A33" s="43" t="s">
        <v>90</v>
      </c>
      <c r="B33" s="43" t="s">
        <v>91</v>
      </c>
      <c r="C33" s="43" t="s">
        <v>13</v>
      </c>
      <c r="D33" s="43" t="s">
        <v>20</v>
      </c>
      <c r="E33" s="43" t="s">
        <v>53</v>
      </c>
      <c r="F33" s="47">
        <v>43658</v>
      </c>
      <c r="G33" s="43">
        <f t="shared" si="0"/>
        <v>2019</v>
      </c>
      <c r="H33" s="43">
        <v>7.1</v>
      </c>
      <c r="I33" s="48">
        <v>65000</v>
      </c>
      <c r="J33" s="44">
        <v>9.8</v>
      </c>
      <c r="K33" s="43" t="s">
        <v>92</v>
      </c>
      <c r="L33" s="43"/>
      <c r="M33" s="43"/>
    </row>
    <row r="34" spans="1:13">
      <c r="A34" s="43" t="s">
        <v>93</v>
      </c>
      <c r="B34" s="43" t="s">
        <v>94</v>
      </c>
      <c r="C34" s="43" t="s">
        <v>13</v>
      </c>
      <c r="D34" s="43" t="s">
        <v>20</v>
      </c>
      <c r="E34" s="43" t="s">
        <v>15</v>
      </c>
      <c r="F34" s="47">
        <v>44697</v>
      </c>
      <c r="G34" s="43">
        <f t="shared" si="0"/>
        <v>2022</v>
      </c>
      <c r="H34" s="43">
        <v>4.3</v>
      </c>
      <c r="I34" s="48">
        <v>124000</v>
      </c>
      <c r="J34" s="44">
        <v>6.6</v>
      </c>
      <c r="K34" s="43" t="s">
        <v>16</v>
      </c>
      <c r="L34" s="43"/>
      <c r="M34" s="43"/>
    </row>
    <row r="35" spans="1:13">
      <c r="A35" s="43" t="s">
        <v>95</v>
      </c>
      <c r="B35" s="43" t="s">
        <v>96</v>
      </c>
      <c r="C35" s="43" t="s">
        <v>19</v>
      </c>
      <c r="D35" s="43" t="s">
        <v>28</v>
      </c>
      <c r="E35" s="43" t="s">
        <v>25</v>
      </c>
      <c r="F35" s="47">
        <v>43233</v>
      </c>
      <c r="G35" s="43">
        <f t="shared" si="0"/>
        <v>2018</v>
      </c>
      <c r="H35" s="43">
        <v>8.3</v>
      </c>
      <c r="I35" s="48">
        <v>103000</v>
      </c>
      <c r="J35" s="44">
        <v>7.1</v>
      </c>
      <c r="K35" s="43" t="s">
        <v>16</v>
      </c>
      <c r="L35" s="43"/>
      <c r="M35" s="43"/>
    </row>
    <row r="36" spans="1:13">
      <c r="A36" s="43" t="s">
        <v>97</v>
      </c>
      <c r="B36" s="43" t="s">
        <v>98</v>
      </c>
      <c r="C36" s="43" t="s">
        <v>13</v>
      </c>
      <c r="D36" s="43" t="s">
        <v>68</v>
      </c>
      <c r="E36" s="43" t="s">
        <v>56</v>
      </c>
      <c r="F36" s="47">
        <v>42414</v>
      </c>
      <c r="G36" s="43">
        <f t="shared" si="0"/>
        <v>2016</v>
      </c>
      <c r="H36" s="43">
        <v>10.5</v>
      </c>
      <c r="I36" s="48">
        <v>47000</v>
      </c>
      <c r="J36" s="44">
        <v>6.2</v>
      </c>
      <c r="K36" s="43" t="s">
        <v>16</v>
      </c>
      <c r="L36" s="43"/>
      <c r="M36" s="43"/>
    </row>
    <row r="37" spans="1:13">
      <c r="A37" s="43" t="s">
        <v>99</v>
      </c>
      <c r="B37" s="43" t="s">
        <v>100</v>
      </c>
      <c r="C37" s="43" t="s">
        <v>19</v>
      </c>
      <c r="D37" s="43" t="s">
        <v>42</v>
      </c>
      <c r="E37" s="43" t="s">
        <v>21</v>
      </c>
      <c r="F37" s="47">
        <v>42651</v>
      </c>
      <c r="G37" s="43">
        <f t="shared" si="0"/>
        <v>2016</v>
      </c>
      <c r="H37" s="43">
        <v>9.9</v>
      </c>
      <c r="I37" s="48">
        <v>66000</v>
      </c>
      <c r="J37" s="44">
        <v>7.2</v>
      </c>
      <c r="K37" s="43" t="s">
        <v>16</v>
      </c>
      <c r="L37" s="43"/>
      <c r="M37" s="43"/>
    </row>
    <row r="38" spans="1:13">
      <c r="A38" s="43" t="s">
        <v>101</v>
      </c>
      <c r="B38" s="43" t="s">
        <v>102</v>
      </c>
      <c r="C38" s="43" t="s">
        <v>19</v>
      </c>
      <c r="D38" s="43" t="s">
        <v>68</v>
      </c>
      <c r="E38" s="43" t="s">
        <v>15</v>
      </c>
      <c r="F38" s="47">
        <v>45351</v>
      </c>
      <c r="G38" s="43">
        <f t="shared" si="0"/>
        <v>2024</v>
      </c>
      <c r="H38" s="43">
        <v>2.5</v>
      </c>
      <c r="I38" s="48">
        <v>108000</v>
      </c>
      <c r="J38" s="44">
        <v>7</v>
      </c>
      <c r="K38" s="43" t="s">
        <v>92</v>
      </c>
      <c r="L38" s="43"/>
      <c r="M38" s="43"/>
    </row>
    <row r="39" spans="1:13">
      <c r="A39" s="43" t="s">
        <v>103</v>
      </c>
      <c r="B39" s="43" t="s">
        <v>104</v>
      </c>
      <c r="C39" s="43" t="s">
        <v>13</v>
      </c>
      <c r="D39" s="43" t="s">
        <v>42</v>
      </c>
      <c r="E39" s="43" t="s">
        <v>25</v>
      </c>
      <c r="F39" s="47">
        <v>42641</v>
      </c>
      <c r="G39" s="43">
        <f t="shared" si="0"/>
        <v>2016</v>
      </c>
      <c r="H39" s="43">
        <v>9.9</v>
      </c>
      <c r="I39" s="48">
        <v>55000</v>
      </c>
      <c r="J39" s="44">
        <v>9</v>
      </c>
      <c r="K39" s="43" t="s">
        <v>16</v>
      </c>
      <c r="L39" s="43"/>
      <c r="M39" s="43"/>
    </row>
    <row r="40" spans="1:13">
      <c r="A40" s="43" t="s">
        <v>105</v>
      </c>
      <c r="B40" s="43" t="s">
        <v>106</v>
      </c>
      <c r="C40" s="43" t="s">
        <v>13</v>
      </c>
      <c r="D40" s="43" t="s">
        <v>20</v>
      </c>
      <c r="E40" s="43" t="s">
        <v>56</v>
      </c>
      <c r="F40" s="47">
        <v>43086</v>
      </c>
      <c r="G40" s="43">
        <f t="shared" si="0"/>
        <v>2017</v>
      </c>
      <c r="H40" s="43">
        <v>8.7</v>
      </c>
      <c r="I40" s="48">
        <v>114000</v>
      </c>
      <c r="J40" s="44">
        <v>5.1</v>
      </c>
      <c r="K40" s="43" t="s">
        <v>16</v>
      </c>
      <c r="L40" s="43"/>
      <c r="M40" s="43"/>
    </row>
    <row r="41" spans="1:13">
      <c r="A41" s="43" t="s">
        <v>107</v>
      </c>
      <c r="B41" s="43" t="s">
        <v>108</v>
      </c>
      <c r="C41" s="43" t="s">
        <v>13</v>
      </c>
      <c r="D41" s="43" t="s">
        <v>42</v>
      </c>
      <c r="E41" s="43" t="s">
        <v>15</v>
      </c>
      <c r="F41" s="47">
        <v>43371</v>
      </c>
      <c r="G41" s="43">
        <f t="shared" si="0"/>
        <v>2018</v>
      </c>
      <c r="H41" s="43">
        <v>7.9</v>
      </c>
      <c r="I41" s="48">
        <v>87000</v>
      </c>
      <c r="J41" s="44">
        <v>7.7</v>
      </c>
      <c r="K41" s="43" t="s">
        <v>16</v>
      </c>
      <c r="L41" s="43"/>
      <c r="M41" s="43"/>
    </row>
    <row r="42" spans="1:13">
      <c r="A42" s="43" t="s">
        <v>109</v>
      </c>
      <c r="B42" s="43" t="s">
        <v>110</v>
      </c>
      <c r="C42" s="43" t="s">
        <v>19</v>
      </c>
      <c r="D42" s="43" t="s">
        <v>28</v>
      </c>
      <c r="E42" s="43" t="s">
        <v>25</v>
      </c>
      <c r="F42" s="47">
        <v>44302</v>
      </c>
      <c r="G42" s="43">
        <f t="shared" si="0"/>
        <v>2021</v>
      </c>
      <c r="H42" s="43">
        <v>5.4</v>
      </c>
      <c r="I42" s="48">
        <v>46000</v>
      </c>
      <c r="J42" s="44">
        <v>9.5</v>
      </c>
      <c r="K42" s="43" t="s">
        <v>16</v>
      </c>
      <c r="L42" s="43"/>
      <c r="M42" s="43"/>
    </row>
    <row r="43" spans="1:13">
      <c r="A43" s="43" t="s">
        <v>111</v>
      </c>
      <c r="B43" s="43" t="s">
        <v>112</v>
      </c>
      <c r="C43" s="43" t="s">
        <v>13</v>
      </c>
      <c r="D43" s="43" t="s">
        <v>42</v>
      </c>
      <c r="E43" s="43" t="s">
        <v>56</v>
      </c>
      <c r="F43" s="47">
        <v>42611</v>
      </c>
      <c r="G43" s="43">
        <f t="shared" si="0"/>
        <v>2016</v>
      </c>
      <c r="H43" s="43">
        <v>10</v>
      </c>
      <c r="I43" s="48">
        <v>65000</v>
      </c>
      <c r="J43" s="44">
        <v>9.2</v>
      </c>
      <c r="K43" s="43" t="s">
        <v>16</v>
      </c>
      <c r="L43" s="43"/>
      <c r="M43" s="43"/>
    </row>
    <row r="44" spans="1:13">
      <c r="A44" s="43" t="s">
        <v>113</v>
      </c>
      <c r="B44" s="43" t="s">
        <v>114</v>
      </c>
      <c r="C44" s="43" t="s">
        <v>19</v>
      </c>
      <c r="D44" s="43" t="s">
        <v>31</v>
      </c>
      <c r="E44" s="43" t="s">
        <v>15</v>
      </c>
      <c r="F44" s="47">
        <v>43470</v>
      </c>
      <c r="G44" s="43">
        <f t="shared" si="0"/>
        <v>2019</v>
      </c>
      <c r="H44" s="43">
        <v>7.6</v>
      </c>
      <c r="I44" s="48">
        <v>45000</v>
      </c>
      <c r="J44" s="44">
        <v>6.8</v>
      </c>
      <c r="K44" s="43" t="s">
        <v>16</v>
      </c>
      <c r="L44" s="43"/>
      <c r="M44" s="43"/>
    </row>
    <row r="45" spans="1:13">
      <c r="A45" s="43" t="s">
        <v>115</v>
      </c>
      <c r="B45" s="43" t="s">
        <v>116</v>
      </c>
      <c r="C45" s="43" t="s">
        <v>19</v>
      </c>
      <c r="D45" s="43" t="s">
        <v>20</v>
      </c>
      <c r="E45" s="43" t="s">
        <v>53</v>
      </c>
      <c r="F45" s="47">
        <v>45546</v>
      </c>
      <c r="G45" s="43">
        <f t="shared" si="0"/>
        <v>2024</v>
      </c>
      <c r="H45" s="43">
        <v>2</v>
      </c>
      <c r="I45" s="48">
        <v>70000</v>
      </c>
      <c r="J45" s="44">
        <v>6</v>
      </c>
      <c r="K45" s="43" t="s">
        <v>92</v>
      </c>
      <c r="L45" s="43"/>
      <c r="M45" s="43"/>
    </row>
    <row r="46" spans="1:13">
      <c r="A46" s="43" t="s">
        <v>117</v>
      </c>
      <c r="B46" s="43" t="s">
        <v>118</v>
      </c>
      <c r="C46" s="43" t="s">
        <v>13</v>
      </c>
      <c r="D46" s="43" t="s">
        <v>20</v>
      </c>
      <c r="E46" s="43" t="s">
        <v>25</v>
      </c>
      <c r="F46" s="47">
        <v>43365</v>
      </c>
      <c r="G46" s="43">
        <f t="shared" si="0"/>
        <v>2018</v>
      </c>
      <c r="H46" s="43">
        <v>7.9</v>
      </c>
      <c r="I46" s="48">
        <v>102000</v>
      </c>
      <c r="J46" s="44">
        <v>8.2</v>
      </c>
      <c r="K46" s="43" t="s">
        <v>16</v>
      </c>
      <c r="L46" s="43"/>
      <c r="M46" s="43"/>
    </row>
    <row r="47" spans="1:13">
      <c r="A47" s="43" t="s">
        <v>119</v>
      </c>
      <c r="B47" s="43" t="s">
        <v>120</v>
      </c>
      <c r="C47" s="43" t="s">
        <v>19</v>
      </c>
      <c r="D47" s="43" t="s">
        <v>68</v>
      </c>
      <c r="E47" s="43" t="s">
        <v>21</v>
      </c>
      <c r="F47" s="47">
        <v>42163</v>
      </c>
      <c r="G47" s="43">
        <f t="shared" si="0"/>
        <v>2015</v>
      </c>
      <c r="H47" s="43">
        <v>11.2</v>
      </c>
      <c r="I47" s="48">
        <v>98000</v>
      </c>
      <c r="J47" s="44">
        <v>5.4</v>
      </c>
      <c r="K47" s="43" t="s">
        <v>16</v>
      </c>
      <c r="L47" s="43"/>
      <c r="M47" s="43"/>
    </row>
    <row r="48" spans="1:13">
      <c r="A48" s="43" t="s">
        <v>121</v>
      </c>
      <c r="B48" s="43" t="s">
        <v>122</v>
      </c>
      <c r="C48" s="43" t="s">
        <v>19</v>
      </c>
      <c r="D48" s="43" t="s">
        <v>42</v>
      </c>
      <c r="E48" s="43" t="s">
        <v>53</v>
      </c>
      <c r="F48" s="47">
        <v>42918</v>
      </c>
      <c r="G48" s="43">
        <f t="shared" si="0"/>
        <v>2017</v>
      </c>
      <c r="H48" s="43">
        <v>9.1</v>
      </c>
      <c r="I48" s="48">
        <v>39000</v>
      </c>
      <c r="J48" s="44">
        <v>6.9</v>
      </c>
      <c r="K48" s="43" t="s">
        <v>16</v>
      </c>
      <c r="L48" s="43"/>
      <c r="M48" s="43"/>
    </row>
    <row r="49" spans="1:13">
      <c r="A49" s="43" t="s">
        <v>123</v>
      </c>
      <c r="B49" s="43" t="s">
        <v>124</v>
      </c>
      <c r="C49" s="43" t="s">
        <v>13</v>
      </c>
      <c r="D49" s="43" t="s">
        <v>28</v>
      </c>
      <c r="E49" s="43" t="s">
        <v>56</v>
      </c>
      <c r="F49" s="47">
        <v>44788</v>
      </c>
      <c r="G49" s="43">
        <f t="shared" si="0"/>
        <v>2022</v>
      </c>
      <c r="H49" s="43">
        <v>4</v>
      </c>
      <c r="I49" s="48">
        <v>113000</v>
      </c>
      <c r="J49" s="44">
        <v>6.6</v>
      </c>
      <c r="K49" s="43" t="s">
        <v>16</v>
      </c>
      <c r="L49" s="43"/>
      <c r="M49" s="43"/>
    </row>
    <row r="50" spans="1:13">
      <c r="A50" s="43" t="s">
        <v>125</v>
      </c>
      <c r="B50" s="43" t="s">
        <v>55</v>
      </c>
      <c r="C50" s="43" t="s">
        <v>13</v>
      </c>
      <c r="D50" s="43" t="s">
        <v>20</v>
      </c>
      <c r="E50" s="43" t="s">
        <v>53</v>
      </c>
      <c r="F50" s="47">
        <v>43092</v>
      </c>
      <c r="G50" s="43">
        <f t="shared" si="0"/>
        <v>2017</v>
      </c>
      <c r="H50" s="43">
        <v>8.7</v>
      </c>
      <c r="I50" s="48">
        <v>54000</v>
      </c>
      <c r="J50" s="44">
        <v>8.4</v>
      </c>
      <c r="K50" s="43" t="s">
        <v>16</v>
      </c>
      <c r="L50" s="43"/>
      <c r="M50" s="43"/>
    </row>
    <row r="51" spans="1:13">
      <c r="A51" s="43" t="s">
        <v>126</v>
      </c>
      <c r="B51" s="43" t="s">
        <v>127</v>
      </c>
      <c r="C51" s="43" t="s">
        <v>19</v>
      </c>
      <c r="D51" s="43" t="s">
        <v>31</v>
      </c>
      <c r="E51" s="43" t="s">
        <v>15</v>
      </c>
      <c r="F51" s="47">
        <v>45689</v>
      </c>
      <c r="G51" s="43">
        <f t="shared" si="0"/>
        <v>2025</v>
      </c>
      <c r="H51" s="43">
        <v>1.6</v>
      </c>
      <c r="I51" s="48">
        <v>68000</v>
      </c>
      <c r="J51" s="44">
        <v>8.2</v>
      </c>
      <c r="K51" s="43" t="s">
        <v>16</v>
      </c>
      <c r="L51" s="43"/>
      <c r="M51" s="43"/>
    </row>
    <row r="52" spans="1:13">
      <c r="A52" s="43" t="s">
        <v>128</v>
      </c>
      <c r="B52" s="43" t="s">
        <v>129</v>
      </c>
      <c r="C52" s="43" t="s">
        <v>13</v>
      </c>
      <c r="D52" s="43" t="s">
        <v>20</v>
      </c>
      <c r="E52" s="43" t="s">
        <v>53</v>
      </c>
      <c r="F52" s="47">
        <v>44210</v>
      </c>
      <c r="G52" s="43">
        <f t="shared" si="0"/>
        <v>2021</v>
      </c>
      <c r="H52" s="43">
        <v>5.6</v>
      </c>
      <c r="I52" s="48">
        <v>127000</v>
      </c>
      <c r="J52" s="44">
        <v>7.2</v>
      </c>
      <c r="K52" s="43" t="s">
        <v>16</v>
      </c>
      <c r="L52" s="43"/>
      <c r="M52" s="43"/>
    </row>
    <row r="53" spans="1:13">
      <c r="A53" s="43" t="s">
        <v>130</v>
      </c>
      <c r="B53" s="43" t="s">
        <v>131</v>
      </c>
      <c r="C53" s="43" t="s">
        <v>19</v>
      </c>
      <c r="D53" s="43" t="s">
        <v>31</v>
      </c>
      <c r="E53" s="43" t="s">
        <v>53</v>
      </c>
      <c r="F53" s="47">
        <v>44557</v>
      </c>
      <c r="G53" s="43">
        <f t="shared" si="0"/>
        <v>2021</v>
      </c>
      <c r="H53" s="43">
        <v>4.7</v>
      </c>
      <c r="I53" s="48">
        <v>52000</v>
      </c>
      <c r="J53" s="44">
        <v>5.7</v>
      </c>
      <c r="K53" s="43" t="s">
        <v>16</v>
      </c>
      <c r="L53" s="43"/>
      <c r="M53" s="43"/>
    </row>
    <row r="54" spans="1:13">
      <c r="A54" s="43" t="s">
        <v>132</v>
      </c>
      <c r="B54" s="43" t="s">
        <v>133</v>
      </c>
      <c r="C54" s="43" t="s">
        <v>13</v>
      </c>
      <c r="D54" s="43" t="s">
        <v>24</v>
      </c>
      <c r="E54" s="43" t="s">
        <v>56</v>
      </c>
      <c r="F54" s="47">
        <v>43341</v>
      </c>
      <c r="G54" s="43">
        <f t="shared" si="0"/>
        <v>2018</v>
      </c>
      <c r="H54" s="43">
        <v>8</v>
      </c>
      <c r="I54" s="48">
        <v>91000</v>
      </c>
      <c r="J54" s="44">
        <v>7</v>
      </c>
      <c r="K54" s="43" t="s">
        <v>16</v>
      </c>
      <c r="L54" s="43"/>
      <c r="M54" s="43"/>
    </row>
    <row r="55" spans="1:13">
      <c r="A55" s="43" t="s">
        <v>134</v>
      </c>
      <c r="B55" s="43" t="s">
        <v>52</v>
      </c>
      <c r="C55" s="43" t="s">
        <v>19</v>
      </c>
      <c r="D55" s="43" t="s">
        <v>31</v>
      </c>
      <c r="E55" s="43" t="s">
        <v>56</v>
      </c>
      <c r="F55" s="47">
        <v>43237</v>
      </c>
      <c r="G55" s="43">
        <f t="shared" si="0"/>
        <v>2018</v>
      </c>
      <c r="H55" s="43">
        <v>8.3</v>
      </c>
      <c r="I55" s="48">
        <v>57000</v>
      </c>
      <c r="J55" s="44">
        <v>6.2</v>
      </c>
      <c r="K55" s="43" t="s">
        <v>16</v>
      </c>
      <c r="L55" s="43"/>
      <c r="M55" s="43"/>
    </row>
    <row r="56" spans="1:13">
      <c r="A56" s="43" t="s">
        <v>135</v>
      </c>
      <c r="B56" s="43" t="s">
        <v>136</v>
      </c>
      <c r="C56" s="43" t="s">
        <v>13</v>
      </c>
      <c r="D56" s="43" t="s">
        <v>20</v>
      </c>
      <c r="E56" s="43" t="s">
        <v>25</v>
      </c>
      <c r="F56" s="47">
        <v>44489</v>
      </c>
      <c r="G56" s="43">
        <f t="shared" si="0"/>
        <v>2021</v>
      </c>
      <c r="H56" s="43">
        <v>4.8</v>
      </c>
      <c r="I56" s="48">
        <v>133000</v>
      </c>
      <c r="J56" s="44">
        <v>7</v>
      </c>
      <c r="K56" s="43" t="s">
        <v>16</v>
      </c>
      <c r="L56" s="43"/>
      <c r="M56" s="43"/>
    </row>
    <row r="57" spans="1:13">
      <c r="A57" s="43" t="s">
        <v>137</v>
      </c>
      <c r="B57" s="43" t="s">
        <v>138</v>
      </c>
      <c r="C57" s="43" t="s">
        <v>19</v>
      </c>
      <c r="D57" s="43" t="s">
        <v>68</v>
      </c>
      <c r="E57" s="43" t="s">
        <v>56</v>
      </c>
      <c r="F57" s="47">
        <v>43167</v>
      </c>
      <c r="G57" s="43">
        <f t="shared" si="0"/>
        <v>2018</v>
      </c>
      <c r="H57" s="43">
        <v>8.5</v>
      </c>
      <c r="I57" s="48">
        <v>103000</v>
      </c>
      <c r="J57" s="44">
        <v>8.6</v>
      </c>
      <c r="K57" s="43" t="s">
        <v>16</v>
      </c>
      <c r="L57" s="43"/>
      <c r="M57" s="43"/>
    </row>
    <row r="58" spans="1:13">
      <c r="A58" s="43" t="s">
        <v>139</v>
      </c>
      <c r="B58" s="43" t="s">
        <v>140</v>
      </c>
      <c r="C58" s="43" t="s">
        <v>19</v>
      </c>
      <c r="D58" s="43" t="s">
        <v>31</v>
      </c>
      <c r="E58" s="43" t="s">
        <v>21</v>
      </c>
      <c r="F58" s="47">
        <v>43276</v>
      </c>
      <c r="G58" s="43">
        <f t="shared" si="0"/>
        <v>2018</v>
      </c>
      <c r="H58" s="43">
        <v>8.2</v>
      </c>
      <c r="I58" s="48">
        <v>46000</v>
      </c>
      <c r="J58" s="44">
        <v>7.7</v>
      </c>
      <c r="K58" s="43" t="s">
        <v>16</v>
      </c>
      <c r="L58" s="43"/>
      <c r="M58" s="43"/>
    </row>
    <row r="59" spans="1:13">
      <c r="A59" s="43" t="s">
        <v>141</v>
      </c>
      <c r="B59" s="43" t="s">
        <v>142</v>
      </c>
      <c r="C59" s="43" t="s">
        <v>19</v>
      </c>
      <c r="D59" s="43" t="s">
        <v>42</v>
      </c>
      <c r="E59" s="43" t="s">
        <v>56</v>
      </c>
      <c r="F59" s="47">
        <v>45634</v>
      </c>
      <c r="G59" s="43">
        <f t="shared" si="0"/>
        <v>2024</v>
      </c>
      <c r="H59" s="43">
        <v>1.7</v>
      </c>
      <c r="I59" s="48">
        <v>78000</v>
      </c>
      <c r="J59" s="44">
        <v>6.9</v>
      </c>
      <c r="K59" s="43" t="s">
        <v>16</v>
      </c>
      <c r="L59" s="43"/>
      <c r="M59" s="43"/>
    </row>
    <row r="60" spans="1:13">
      <c r="A60" s="43" t="s">
        <v>143</v>
      </c>
      <c r="B60" s="43" t="s">
        <v>144</v>
      </c>
      <c r="C60" s="43" t="s">
        <v>19</v>
      </c>
      <c r="D60" s="43" t="s">
        <v>59</v>
      </c>
      <c r="E60" s="43" t="s">
        <v>56</v>
      </c>
      <c r="F60" s="47">
        <v>42027</v>
      </c>
      <c r="G60" s="43">
        <f t="shared" si="0"/>
        <v>2015</v>
      </c>
      <c r="H60" s="43">
        <v>11.6</v>
      </c>
      <c r="I60" s="48">
        <v>97000</v>
      </c>
      <c r="J60" s="44">
        <v>7.5</v>
      </c>
      <c r="K60" s="43" t="s">
        <v>16</v>
      </c>
      <c r="L60" s="43"/>
      <c r="M60" s="43"/>
    </row>
    <row r="61" spans="1:13">
      <c r="A61" s="43" t="s">
        <v>145</v>
      </c>
      <c r="B61" s="43" t="s">
        <v>48</v>
      </c>
      <c r="C61" s="43" t="s">
        <v>19</v>
      </c>
      <c r="D61" s="43" t="s">
        <v>42</v>
      </c>
      <c r="E61" s="43" t="s">
        <v>25</v>
      </c>
      <c r="F61" s="47">
        <v>43907</v>
      </c>
      <c r="G61" s="43">
        <f t="shared" si="0"/>
        <v>2020</v>
      </c>
      <c r="H61" s="43">
        <v>6.4</v>
      </c>
      <c r="I61" s="48">
        <v>41000</v>
      </c>
      <c r="J61" s="44">
        <v>5.6</v>
      </c>
      <c r="K61" s="43" t="s">
        <v>16</v>
      </c>
      <c r="L61" s="43"/>
      <c r="M61" s="43"/>
    </row>
    <row r="62" spans="1:13">
      <c r="A62" s="43" t="s">
        <v>146</v>
      </c>
      <c r="B62" s="43" t="s">
        <v>147</v>
      </c>
      <c r="C62" s="43" t="s">
        <v>13</v>
      </c>
      <c r="D62" s="43" t="s">
        <v>42</v>
      </c>
      <c r="E62" s="43" t="s">
        <v>56</v>
      </c>
      <c r="F62" s="47">
        <v>44294</v>
      </c>
      <c r="G62" s="43">
        <f t="shared" si="0"/>
        <v>2021</v>
      </c>
      <c r="H62" s="43">
        <v>5.4</v>
      </c>
      <c r="I62" s="48">
        <v>76000</v>
      </c>
      <c r="J62" s="44">
        <v>6.7</v>
      </c>
      <c r="K62" s="43" t="s">
        <v>16</v>
      </c>
      <c r="L62" s="43"/>
      <c r="M62" s="43"/>
    </row>
    <row r="63" spans="1:13">
      <c r="A63" s="43" t="s">
        <v>148</v>
      </c>
      <c r="B63" s="43" t="s">
        <v>149</v>
      </c>
      <c r="C63" s="43" t="s">
        <v>19</v>
      </c>
      <c r="D63" s="43" t="s">
        <v>28</v>
      </c>
      <c r="E63" s="43" t="s">
        <v>15</v>
      </c>
      <c r="F63" s="47">
        <v>45533</v>
      </c>
      <c r="G63" s="43">
        <f t="shared" si="0"/>
        <v>2024</v>
      </c>
      <c r="H63" s="43">
        <v>2</v>
      </c>
      <c r="I63" s="48">
        <v>105000</v>
      </c>
      <c r="J63" s="44">
        <v>9.2</v>
      </c>
      <c r="K63" s="43" t="s">
        <v>16</v>
      </c>
      <c r="L63" s="43"/>
      <c r="M63" s="43"/>
    </row>
    <row r="64" spans="1:13">
      <c r="A64" s="43" t="s">
        <v>150</v>
      </c>
      <c r="B64" s="43" t="s">
        <v>151</v>
      </c>
      <c r="C64" s="43" t="s">
        <v>13</v>
      </c>
      <c r="D64" s="43" t="s">
        <v>59</v>
      </c>
      <c r="E64" s="43" t="s">
        <v>25</v>
      </c>
      <c r="F64" s="47">
        <v>43989</v>
      </c>
      <c r="G64" s="43">
        <f t="shared" si="0"/>
        <v>2020</v>
      </c>
      <c r="H64" s="43">
        <v>6.2</v>
      </c>
      <c r="I64" s="48">
        <v>80000</v>
      </c>
      <c r="J64" s="44">
        <v>7.6</v>
      </c>
      <c r="K64" s="43" t="s">
        <v>16</v>
      </c>
      <c r="L64" s="43"/>
      <c r="M64" s="43"/>
    </row>
    <row r="65" spans="1:13">
      <c r="A65" s="43" t="s">
        <v>152</v>
      </c>
      <c r="B65" s="43" t="s">
        <v>153</v>
      </c>
      <c r="C65" s="43" t="s">
        <v>13</v>
      </c>
      <c r="D65" s="43" t="s">
        <v>59</v>
      </c>
      <c r="E65" s="43" t="s">
        <v>56</v>
      </c>
      <c r="F65" s="47">
        <v>42571</v>
      </c>
      <c r="G65" s="43">
        <f t="shared" si="0"/>
        <v>2016</v>
      </c>
      <c r="H65" s="43">
        <v>10.1</v>
      </c>
      <c r="I65" s="48">
        <v>49000</v>
      </c>
      <c r="J65" s="44">
        <v>8.7</v>
      </c>
      <c r="K65" s="43" t="s">
        <v>16</v>
      </c>
      <c r="L65" s="43"/>
      <c r="M65" s="43"/>
    </row>
    <row r="66" spans="1:13">
      <c r="A66" s="43" t="s">
        <v>154</v>
      </c>
      <c r="B66" s="43" t="s">
        <v>155</v>
      </c>
      <c r="C66" s="43" t="s">
        <v>13</v>
      </c>
      <c r="D66" s="43" t="s">
        <v>20</v>
      </c>
      <c r="E66" s="43" t="s">
        <v>21</v>
      </c>
      <c r="F66" s="47">
        <v>44227</v>
      </c>
      <c r="G66" s="43">
        <f t="shared" si="0"/>
        <v>2021</v>
      </c>
      <c r="H66" s="43">
        <v>5.6</v>
      </c>
      <c r="I66" s="48">
        <v>109000</v>
      </c>
      <c r="J66" s="44">
        <v>6.9</v>
      </c>
      <c r="K66" s="43" t="s">
        <v>16</v>
      </c>
      <c r="L66" s="43"/>
      <c r="M66" s="43"/>
    </row>
    <row r="67" spans="1:13">
      <c r="A67" s="43" t="s">
        <v>156</v>
      </c>
      <c r="B67" s="43" t="s">
        <v>157</v>
      </c>
      <c r="C67" s="43" t="s">
        <v>13</v>
      </c>
      <c r="D67" s="43" t="s">
        <v>24</v>
      </c>
      <c r="E67" s="43" t="s">
        <v>56</v>
      </c>
      <c r="F67" s="47">
        <v>45866</v>
      </c>
      <c r="G67" s="43">
        <f t="shared" ref="G67:G130" si="1">YEAR(F67)</f>
        <v>2025</v>
      </c>
      <c r="H67" s="43">
        <v>1.1</v>
      </c>
      <c r="I67" s="48">
        <v>85000</v>
      </c>
      <c r="J67" s="44">
        <v>7.9</v>
      </c>
      <c r="K67" s="43" t="s">
        <v>16</v>
      </c>
      <c r="L67" s="43"/>
      <c r="M67" s="43"/>
    </row>
    <row r="68" spans="1:13">
      <c r="A68" s="43" t="s">
        <v>158</v>
      </c>
      <c r="B68" s="43" t="s">
        <v>159</v>
      </c>
      <c r="C68" s="43" t="s">
        <v>19</v>
      </c>
      <c r="D68" s="43" t="s">
        <v>28</v>
      </c>
      <c r="E68" s="43" t="s">
        <v>25</v>
      </c>
      <c r="F68" s="47">
        <v>44241</v>
      </c>
      <c r="G68" s="43">
        <f t="shared" si="1"/>
        <v>2021</v>
      </c>
      <c r="H68" s="43">
        <v>5.5</v>
      </c>
      <c r="I68" s="48">
        <v>73000</v>
      </c>
      <c r="J68" s="44">
        <v>6.6</v>
      </c>
      <c r="K68" s="43" t="s">
        <v>16</v>
      </c>
      <c r="L68" s="43"/>
      <c r="M68" s="43"/>
    </row>
    <row r="69" spans="1:13">
      <c r="A69" s="43" t="s">
        <v>160</v>
      </c>
      <c r="B69" s="43" t="s">
        <v>161</v>
      </c>
      <c r="C69" s="43" t="s">
        <v>19</v>
      </c>
      <c r="D69" s="43" t="s">
        <v>68</v>
      </c>
      <c r="E69" s="43" t="s">
        <v>21</v>
      </c>
      <c r="F69" s="47">
        <v>42681</v>
      </c>
      <c r="G69" s="43">
        <f t="shared" si="1"/>
        <v>2016</v>
      </c>
      <c r="H69" s="43">
        <v>9.8</v>
      </c>
      <c r="I69" s="48">
        <v>97000</v>
      </c>
      <c r="J69" s="44">
        <v>7.6</v>
      </c>
      <c r="K69" s="43" t="s">
        <v>92</v>
      </c>
      <c r="L69" s="43"/>
      <c r="M69" s="43"/>
    </row>
    <row r="70" spans="1:13">
      <c r="A70" s="43" t="s">
        <v>162</v>
      </c>
      <c r="B70" s="43" t="s">
        <v>163</v>
      </c>
      <c r="C70" s="43" t="s">
        <v>13</v>
      </c>
      <c r="D70" s="43" t="s">
        <v>24</v>
      </c>
      <c r="E70" s="43" t="s">
        <v>56</v>
      </c>
      <c r="F70" s="47">
        <v>42348</v>
      </c>
      <c r="G70" s="43">
        <f t="shared" si="1"/>
        <v>2015</v>
      </c>
      <c r="H70" s="43">
        <v>10.7</v>
      </c>
      <c r="I70" s="48">
        <v>94000</v>
      </c>
      <c r="J70" s="44">
        <v>8.3</v>
      </c>
      <c r="K70" s="43" t="s">
        <v>16</v>
      </c>
      <c r="L70" s="43"/>
      <c r="M70" s="43"/>
    </row>
    <row r="71" spans="1:13">
      <c r="A71" s="43" t="s">
        <v>164</v>
      </c>
      <c r="B71" s="43" t="s">
        <v>165</v>
      </c>
      <c r="C71" s="43" t="s">
        <v>19</v>
      </c>
      <c r="D71" s="43" t="s">
        <v>28</v>
      </c>
      <c r="E71" s="43" t="s">
        <v>21</v>
      </c>
      <c r="F71" s="47">
        <v>45608</v>
      </c>
      <c r="G71" s="43">
        <f t="shared" si="1"/>
        <v>2024</v>
      </c>
      <c r="H71" s="43">
        <v>1.8</v>
      </c>
      <c r="I71" s="48">
        <v>93000</v>
      </c>
      <c r="J71" s="44">
        <v>8.4</v>
      </c>
      <c r="K71" s="43" t="s">
        <v>16</v>
      </c>
      <c r="L71" s="43"/>
      <c r="M71" s="43"/>
    </row>
    <row r="72" spans="1:13">
      <c r="A72" s="43" t="s">
        <v>166</v>
      </c>
      <c r="B72" s="43" t="s">
        <v>167</v>
      </c>
      <c r="C72" s="43" t="s">
        <v>19</v>
      </c>
      <c r="D72" s="43" t="s">
        <v>20</v>
      </c>
      <c r="E72" s="43" t="s">
        <v>15</v>
      </c>
      <c r="F72" s="47">
        <v>44214</v>
      </c>
      <c r="G72" s="43">
        <f t="shared" si="1"/>
        <v>2021</v>
      </c>
      <c r="H72" s="43">
        <v>5.6</v>
      </c>
      <c r="I72" s="48">
        <v>56000</v>
      </c>
      <c r="J72" s="44">
        <v>8.5</v>
      </c>
      <c r="K72" s="43" t="s">
        <v>16</v>
      </c>
      <c r="L72" s="43"/>
      <c r="M72" s="43"/>
    </row>
    <row r="73" spans="1:13">
      <c r="A73" s="43" t="s">
        <v>168</v>
      </c>
      <c r="B73" s="43" t="s">
        <v>169</v>
      </c>
      <c r="C73" s="43" t="s">
        <v>13</v>
      </c>
      <c r="D73" s="43" t="s">
        <v>31</v>
      </c>
      <c r="E73" s="43" t="s">
        <v>15</v>
      </c>
      <c r="F73" s="47">
        <v>42088</v>
      </c>
      <c r="G73" s="43">
        <f t="shared" si="1"/>
        <v>2015</v>
      </c>
      <c r="H73" s="43">
        <v>11.4</v>
      </c>
      <c r="I73" s="48">
        <v>71000</v>
      </c>
      <c r="J73" s="44">
        <v>7.5</v>
      </c>
      <c r="K73" s="43" t="s">
        <v>16</v>
      </c>
      <c r="L73" s="43"/>
      <c r="M73" s="43"/>
    </row>
    <row r="74" spans="1:13">
      <c r="A74" s="43" t="s">
        <v>170</v>
      </c>
      <c r="B74" s="43" t="s">
        <v>171</v>
      </c>
      <c r="C74" s="43" t="s">
        <v>13</v>
      </c>
      <c r="D74" s="43" t="s">
        <v>20</v>
      </c>
      <c r="E74" s="43" t="s">
        <v>53</v>
      </c>
      <c r="F74" s="47">
        <v>43909</v>
      </c>
      <c r="G74" s="43">
        <f t="shared" si="1"/>
        <v>2020</v>
      </c>
      <c r="H74" s="43">
        <v>6.4</v>
      </c>
      <c r="I74" s="48">
        <v>120000</v>
      </c>
      <c r="J74" s="44">
        <v>7.5</v>
      </c>
      <c r="K74" s="43" t="s">
        <v>16</v>
      </c>
      <c r="L74" s="43"/>
      <c r="M74" s="43"/>
    </row>
    <row r="75" spans="1:13">
      <c r="A75" s="43" t="s">
        <v>172</v>
      </c>
      <c r="B75" s="43" t="s">
        <v>173</v>
      </c>
      <c r="C75" s="43" t="s">
        <v>13</v>
      </c>
      <c r="D75" s="43" t="s">
        <v>20</v>
      </c>
      <c r="E75" s="43" t="s">
        <v>21</v>
      </c>
      <c r="F75" s="47">
        <v>44375</v>
      </c>
      <c r="G75" s="43">
        <f t="shared" si="1"/>
        <v>2021</v>
      </c>
      <c r="H75" s="43">
        <v>5.2</v>
      </c>
      <c r="I75" s="48">
        <v>53000</v>
      </c>
      <c r="J75" s="44">
        <v>8.6</v>
      </c>
      <c r="K75" s="43" t="s">
        <v>92</v>
      </c>
      <c r="L75" s="43"/>
      <c r="M75" s="43"/>
    </row>
    <row r="76" spans="1:13">
      <c r="A76" s="43" t="s">
        <v>174</v>
      </c>
      <c r="B76" s="43" t="s">
        <v>175</v>
      </c>
      <c r="C76" s="43" t="s">
        <v>19</v>
      </c>
      <c r="D76" s="43" t="s">
        <v>20</v>
      </c>
      <c r="E76" s="43" t="s">
        <v>56</v>
      </c>
      <c r="F76" s="47">
        <v>45407</v>
      </c>
      <c r="G76" s="43">
        <f t="shared" si="1"/>
        <v>2024</v>
      </c>
      <c r="H76" s="43">
        <v>2.3</v>
      </c>
      <c r="I76" s="48">
        <v>130000</v>
      </c>
      <c r="J76" s="44">
        <v>7.6</v>
      </c>
      <c r="K76" s="43" t="s">
        <v>16</v>
      </c>
      <c r="L76" s="43"/>
      <c r="M76" s="43"/>
    </row>
    <row r="77" spans="1:13">
      <c r="A77" s="43" t="s">
        <v>176</v>
      </c>
      <c r="B77" s="43" t="s">
        <v>177</v>
      </c>
      <c r="C77" s="43" t="s">
        <v>13</v>
      </c>
      <c r="D77" s="43" t="s">
        <v>42</v>
      </c>
      <c r="E77" s="43" t="s">
        <v>21</v>
      </c>
      <c r="F77" s="47">
        <v>43759</v>
      </c>
      <c r="G77" s="43">
        <f t="shared" si="1"/>
        <v>2019</v>
      </c>
      <c r="H77" s="43">
        <v>6.8</v>
      </c>
      <c r="I77" s="48">
        <v>80000</v>
      </c>
      <c r="J77" s="44">
        <v>9.2</v>
      </c>
      <c r="K77" s="43" t="s">
        <v>16</v>
      </c>
      <c r="L77" s="43"/>
      <c r="M77" s="43"/>
    </row>
    <row r="78" spans="1:13">
      <c r="A78" s="43" t="s">
        <v>178</v>
      </c>
      <c r="B78" s="43" t="s">
        <v>179</v>
      </c>
      <c r="C78" s="43" t="s">
        <v>19</v>
      </c>
      <c r="D78" s="43" t="s">
        <v>28</v>
      </c>
      <c r="E78" s="43" t="s">
        <v>56</v>
      </c>
      <c r="F78" s="47">
        <v>43780</v>
      </c>
      <c r="G78" s="43">
        <f t="shared" si="1"/>
        <v>2019</v>
      </c>
      <c r="H78" s="43">
        <v>6.8</v>
      </c>
      <c r="I78" s="48">
        <v>91000</v>
      </c>
      <c r="J78" s="44">
        <v>6.1</v>
      </c>
      <c r="K78" s="43" t="s">
        <v>16</v>
      </c>
      <c r="L78" s="43"/>
      <c r="M78" s="43"/>
    </row>
    <row r="79" spans="1:13">
      <c r="A79" s="43" t="s">
        <v>180</v>
      </c>
      <c r="B79" s="43" t="s">
        <v>110</v>
      </c>
      <c r="C79" s="43" t="s">
        <v>19</v>
      </c>
      <c r="D79" s="43" t="s">
        <v>24</v>
      </c>
      <c r="E79" s="43" t="s">
        <v>56</v>
      </c>
      <c r="F79" s="47">
        <v>44527</v>
      </c>
      <c r="G79" s="43">
        <f t="shared" si="1"/>
        <v>2021</v>
      </c>
      <c r="H79" s="43">
        <v>4.7</v>
      </c>
      <c r="I79" s="48">
        <v>108000</v>
      </c>
      <c r="J79" s="44">
        <v>5.9</v>
      </c>
      <c r="K79" s="43" t="s">
        <v>16</v>
      </c>
      <c r="L79" s="43"/>
      <c r="M79" s="43"/>
    </row>
    <row r="80" spans="1:13">
      <c r="A80" s="43" t="s">
        <v>181</v>
      </c>
      <c r="B80" s="43" t="s">
        <v>182</v>
      </c>
      <c r="C80" s="43" t="s">
        <v>19</v>
      </c>
      <c r="D80" s="43" t="s">
        <v>68</v>
      </c>
      <c r="E80" s="43" t="s">
        <v>21</v>
      </c>
      <c r="F80" s="47">
        <v>45493</v>
      </c>
      <c r="G80" s="43">
        <f t="shared" si="1"/>
        <v>2024</v>
      </c>
      <c r="H80" s="43">
        <v>2.1</v>
      </c>
      <c r="I80" s="48">
        <v>69000</v>
      </c>
      <c r="J80" s="44">
        <v>7.7</v>
      </c>
      <c r="K80" s="43" t="s">
        <v>92</v>
      </c>
      <c r="L80" s="43"/>
      <c r="M80" s="43"/>
    </row>
    <row r="81" spans="1:13">
      <c r="A81" s="43" t="s">
        <v>183</v>
      </c>
      <c r="B81" s="43" t="s">
        <v>184</v>
      </c>
      <c r="C81" s="43" t="s">
        <v>13</v>
      </c>
      <c r="D81" s="43" t="s">
        <v>24</v>
      </c>
      <c r="E81" s="43" t="s">
        <v>56</v>
      </c>
      <c r="F81" s="47">
        <v>43382</v>
      </c>
      <c r="G81" s="43">
        <f t="shared" si="1"/>
        <v>2018</v>
      </c>
      <c r="H81" s="43">
        <v>7.9</v>
      </c>
      <c r="I81" s="48">
        <v>43000</v>
      </c>
      <c r="J81" s="44">
        <v>7.1</v>
      </c>
      <c r="K81" s="43" t="s">
        <v>16</v>
      </c>
      <c r="L81" s="43"/>
      <c r="M81" s="43"/>
    </row>
    <row r="82" spans="1:13">
      <c r="A82" s="43" t="s">
        <v>185</v>
      </c>
      <c r="B82" s="43" t="s">
        <v>186</v>
      </c>
      <c r="C82" s="43" t="s">
        <v>19</v>
      </c>
      <c r="D82" s="43" t="s">
        <v>20</v>
      </c>
      <c r="E82" s="43" t="s">
        <v>25</v>
      </c>
      <c r="F82" s="47">
        <v>43399</v>
      </c>
      <c r="G82" s="43">
        <f t="shared" si="1"/>
        <v>2018</v>
      </c>
      <c r="H82" s="43">
        <v>7.8</v>
      </c>
      <c r="I82" s="48">
        <v>85000</v>
      </c>
      <c r="J82" s="44">
        <v>8.7</v>
      </c>
      <c r="K82" s="43" t="s">
        <v>16</v>
      </c>
      <c r="L82" s="43"/>
      <c r="M82" s="43"/>
    </row>
    <row r="83" spans="1:13">
      <c r="A83" s="43" t="s">
        <v>187</v>
      </c>
      <c r="B83" s="43" t="s">
        <v>74</v>
      </c>
      <c r="C83" s="43" t="s">
        <v>13</v>
      </c>
      <c r="D83" s="43" t="s">
        <v>20</v>
      </c>
      <c r="E83" s="43" t="s">
        <v>25</v>
      </c>
      <c r="F83" s="47">
        <v>44006</v>
      </c>
      <c r="G83" s="43">
        <f t="shared" si="1"/>
        <v>2020</v>
      </c>
      <c r="H83" s="43">
        <v>6.2</v>
      </c>
      <c r="I83" s="48">
        <v>121000</v>
      </c>
      <c r="J83" s="44">
        <v>6.3</v>
      </c>
      <c r="K83" s="43" t="s">
        <v>16</v>
      </c>
      <c r="L83" s="43"/>
      <c r="M83" s="43"/>
    </row>
    <row r="84" spans="1:13">
      <c r="A84" s="43" t="s">
        <v>188</v>
      </c>
      <c r="B84" s="43" t="s">
        <v>189</v>
      </c>
      <c r="C84" s="43" t="s">
        <v>19</v>
      </c>
      <c r="D84" s="43" t="s">
        <v>24</v>
      </c>
      <c r="E84" s="43" t="s">
        <v>25</v>
      </c>
      <c r="F84" s="47">
        <v>42386</v>
      </c>
      <c r="G84" s="43">
        <f t="shared" si="1"/>
        <v>2016</v>
      </c>
      <c r="H84" s="43">
        <v>10.6</v>
      </c>
      <c r="I84" s="48">
        <v>77000</v>
      </c>
      <c r="J84" s="44">
        <v>7.8</v>
      </c>
      <c r="K84" s="43" t="s">
        <v>16</v>
      </c>
      <c r="L84" s="43"/>
      <c r="M84" s="43"/>
    </row>
    <row r="85" spans="1:13">
      <c r="A85" s="43" t="s">
        <v>190</v>
      </c>
      <c r="B85" s="43" t="s">
        <v>191</v>
      </c>
      <c r="C85" s="43" t="s">
        <v>19</v>
      </c>
      <c r="D85" s="43" t="s">
        <v>24</v>
      </c>
      <c r="E85" s="43" t="s">
        <v>56</v>
      </c>
      <c r="F85" s="47">
        <v>45060</v>
      </c>
      <c r="G85" s="43">
        <f t="shared" si="1"/>
        <v>2023</v>
      </c>
      <c r="H85" s="43">
        <v>3.3</v>
      </c>
      <c r="I85" s="48">
        <v>110000</v>
      </c>
      <c r="J85" s="44">
        <v>9.2</v>
      </c>
      <c r="K85" s="43" t="s">
        <v>16</v>
      </c>
      <c r="L85" s="43"/>
      <c r="M85" s="43"/>
    </row>
    <row r="86" spans="1:13">
      <c r="A86" s="43" t="s">
        <v>192</v>
      </c>
      <c r="B86" s="43" t="s">
        <v>193</v>
      </c>
      <c r="C86" s="43" t="s">
        <v>19</v>
      </c>
      <c r="D86" s="43" t="s">
        <v>59</v>
      </c>
      <c r="E86" s="43" t="s">
        <v>15</v>
      </c>
      <c r="F86" s="47">
        <v>42793</v>
      </c>
      <c r="G86" s="43">
        <f t="shared" si="1"/>
        <v>2017</v>
      </c>
      <c r="H86" s="43">
        <v>9.5</v>
      </c>
      <c r="I86" s="48">
        <v>60000</v>
      </c>
      <c r="J86" s="44">
        <v>8.5</v>
      </c>
      <c r="K86" s="43" t="s">
        <v>16</v>
      </c>
      <c r="L86" s="43"/>
      <c r="M86" s="43"/>
    </row>
    <row r="87" spans="1:13">
      <c r="A87" s="43" t="s">
        <v>194</v>
      </c>
      <c r="B87" s="43" t="s">
        <v>195</v>
      </c>
      <c r="C87" s="43" t="s">
        <v>13</v>
      </c>
      <c r="D87" s="43" t="s">
        <v>68</v>
      </c>
      <c r="E87" s="43" t="s">
        <v>21</v>
      </c>
      <c r="F87" s="47">
        <v>44419</v>
      </c>
      <c r="G87" s="43">
        <f t="shared" si="1"/>
        <v>2021</v>
      </c>
      <c r="H87" s="43">
        <v>5</v>
      </c>
      <c r="I87" s="48">
        <v>105000</v>
      </c>
      <c r="J87" s="44">
        <v>8.4</v>
      </c>
      <c r="K87" s="43" t="s">
        <v>16</v>
      </c>
      <c r="L87" s="43"/>
      <c r="M87" s="43"/>
    </row>
    <row r="88" spans="1:13">
      <c r="A88" s="43" t="s">
        <v>196</v>
      </c>
      <c r="B88" s="43" t="s">
        <v>197</v>
      </c>
      <c r="C88" s="43" t="s">
        <v>13</v>
      </c>
      <c r="D88" s="43" t="s">
        <v>59</v>
      </c>
      <c r="E88" s="43" t="s">
        <v>21</v>
      </c>
      <c r="F88" s="47">
        <v>43243</v>
      </c>
      <c r="G88" s="43">
        <f t="shared" si="1"/>
        <v>2018</v>
      </c>
      <c r="H88" s="43">
        <v>8.3</v>
      </c>
      <c r="I88" s="48">
        <v>40000</v>
      </c>
      <c r="J88" s="44">
        <v>7.4</v>
      </c>
      <c r="K88" s="43" t="s">
        <v>16</v>
      </c>
      <c r="L88" s="43"/>
      <c r="M88" s="43"/>
    </row>
    <row r="89" spans="1:13">
      <c r="A89" s="43" t="s">
        <v>198</v>
      </c>
      <c r="B89" s="43" t="s">
        <v>199</v>
      </c>
      <c r="C89" s="43" t="s">
        <v>13</v>
      </c>
      <c r="D89" s="43" t="s">
        <v>68</v>
      </c>
      <c r="E89" s="43" t="s">
        <v>15</v>
      </c>
      <c r="F89" s="47">
        <v>45562</v>
      </c>
      <c r="G89" s="43">
        <f t="shared" si="1"/>
        <v>2024</v>
      </c>
      <c r="H89" s="43">
        <v>1.9</v>
      </c>
      <c r="I89" s="48">
        <v>100000</v>
      </c>
      <c r="J89" s="44">
        <v>6.9</v>
      </c>
      <c r="K89" s="43" t="s">
        <v>16</v>
      </c>
      <c r="L89" s="43"/>
      <c r="M89" s="43"/>
    </row>
    <row r="90" spans="1:13">
      <c r="A90" s="43" t="s">
        <v>200</v>
      </c>
      <c r="B90" s="43" t="s">
        <v>201</v>
      </c>
      <c r="C90" s="43" t="s">
        <v>13</v>
      </c>
      <c r="D90" s="43" t="s">
        <v>28</v>
      </c>
      <c r="E90" s="43" t="s">
        <v>56</v>
      </c>
      <c r="F90" s="47">
        <v>42760</v>
      </c>
      <c r="G90" s="43">
        <f t="shared" si="1"/>
        <v>2017</v>
      </c>
      <c r="H90" s="43">
        <v>9.6</v>
      </c>
      <c r="I90" s="48">
        <v>51000</v>
      </c>
      <c r="J90" s="44">
        <v>7.5</v>
      </c>
      <c r="K90" s="43" t="s">
        <v>16</v>
      </c>
      <c r="L90" s="43"/>
      <c r="M90" s="43"/>
    </row>
    <row r="91" spans="1:13">
      <c r="A91" s="43" t="s">
        <v>202</v>
      </c>
      <c r="B91" s="43" t="s">
        <v>203</v>
      </c>
      <c r="C91" s="43" t="s">
        <v>13</v>
      </c>
      <c r="D91" s="43" t="s">
        <v>20</v>
      </c>
      <c r="E91" s="43" t="s">
        <v>56</v>
      </c>
      <c r="F91" s="47">
        <v>42224</v>
      </c>
      <c r="G91" s="43">
        <f t="shared" si="1"/>
        <v>2015</v>
      </c>
      <c r="H91" s="43">
        <v>11</v>
      </c>
      <c r="I91" s="48">
        <v>69000</v>
      </c>
      <c r="J91" s="44">
        <v>9.7</v>
      </c>
      <c r="K91" s="43" t="s">
        <v>16</v>
      </c>
      <c r="L91" s="43"/>
      <c r="M91" s="43"/>
    </row>
    <row r="92" spans="1:13">
      <c r="A92" s="43" t="s">
        <v>204</v>
      </c>
      <c r="B92" s="43" t="s">
        <v>205</v>
      </c>
      <c r="C92" s="43" t="s">
        <v>19</v>
      </c>
      <c r="D92" s="43" t="s">
        <v>20</v>
      </c>
      <c r="E92" s="43" t="s">
        <v>25</v>
      </c>
      <c r="F92" s="47">
        <v>44488</v>
      </c>
      <c r="G92" s="43">
        <f t="shared" si="1"/>
        <v>2021</v>
      </c>
      <c r="H92" s="43">
        <v>4.8</v>
      </c>
      <c r="I92" s="48">
        <v>126000</v>
      </c>
      <c r="J92" s="44">
        <v>7.7</v>
      </c>
      <c r="K92" s="43" t="s">
        <v>16</v>
      </c>
      <c r="L92" s="43"/>
      <c r="M92" s="43"/>
    </row>
    <row r="93" spans="1:13">
      <c r="A93" s="43" t="s">
        <v>206</v>
      </c>
      <c r="B93" s="43" t="s">
        <v>207</v>
      </c>
      <c r="C93" s="43" t="s">
        <v>19</v>
      </c>
      <c r="D93" s="43" t="s">
        <v>59</v>
      </c>
      <c r="E93" s="43" t="s">
        <v>56</v>
      </c>
      <c r="F93" s="47">
        <v>43761</v>
      </c>
      <c r="G93" s="43">
        <f t="shared" si="1"/>
        <v>2019</v>
      </c>
      <c r="H93" s="43">
        <v>6.8</v>
      </c>
      <c r="I93" s="48">
        <v>59000</v>
      </c>
      <c r="J93" s="44">
        <v>6.7</v>
      </c>
      <c r="K93" s="43" t="s">
        <v>16</v>
      </c>
      <c r="L93" s="43"/>
      <c r="M93" s="43"/>
    </row>
    <row r="94" spans="1:13">
      <c r="A94" s="43" t="s">
        <v>208</v>
      </c>
      <c r="B94" s="43" t="s">
        <v>116</v>
      </c>
      <c r="C94" s="43" t="s">
        <v>13</v>
      </c>
      <c r="D94" s="43" t="s">
        <v>20</v>
      </c>
      <c r="E94" s="43" t="s">
        <v>25</v>
      </c>
      <c r="F94" s="47">
        <v>44567</v>
      </c>
      <c r="G94" s="43">
        <f t="shared" si="1"/>
        <v>2022</v>
      </c>
      <c r="H94" s="43">
        <v>4.6</v>
      </c>
      <c r="I94" s="48">
        <v>77000</v>
      </c>
      <c r="J94" s="44">
        <v>7.5</v>
      </c>
      <c r="K94" s="43" t="s">
        <v>16</v>
      </c>
      <c r="L94" s="43"/>
      <c r="M94" s="43"/>
    </row>
    <row r="95" spans="1:13">
      <c r="A95" s="43" t="s">
        <v>209</v>
      </c>
      <c r="B95" s="43" t="s">
        <v>210</v>
      </c>
      <c r="C95" s="43" t="s">
        <v>13</v>
      </c>
      <c r="D95" s="43" t="s">
        <v>28</v>
      </c>
      <c r="E95" s="43" t="s">
        <v>25</v>
      </c>
      <c r="F95" s="47">
        <v>43929</v>
      </c>
      <c r="G95" s="43">
        <f t="shared" si="1"/>
        <v>2020</v>
      </c>
      <c r="H95" s="43">
        <v>6.4</v>
      </c>
      <c r="I95" s="48">
        <v>82000</v>
      </c>
      <c r="J95" s="44">
        <v>8</v>
      </c>
      <c r="K95" s="43" t="s">
        <v>16</v>
      </c>
      <c r="L95" s="43"/>
      <c r="M95" s="43"/>
    </row>
    <row r="96" spans="1:13">
      <c r="A96" s="43" t="s">
        <v>211</v>
      </c>
      <c r="B96" s="43" t="s">
        <v>212</v>
      </c>
      <c r="C96" s="43" t="s">
        <v>19</v>
      </c>
      <c r="D96" s="43" t="s">
        <v>68</v>
      </c>
      <c r="E96" s="43" t="s">
        <v>56</v>
      </c>
      <c r="F96" s="47">
        <v>44820</v>
      </c>
      <c r="G96" s="43">
        <f t="shared" si="1"/>
        <v>2022</v>
      </c>
      <c r="H96" s="43">
        <v>3.9</v>
      </c>
      <c r="I96" s="48">
        <v>67000</v>
      </c>
      <c r="J96" s="44">
        <v>9.2</v>
      </c>
      <c r="K96" s="43" t="s">
        <v>16</v>
      </c>
      <c r="L96" s="43"/>
      <c r="M96" s="43"/>
    </row>
    <row r="97" spans="1:13">
      <c r="A97" s="43" t="s">
        <v>213</v>
      </c>
      <c r="B97" s="43" t="s">
        <v>131</v>
      </c>
      <c r="C97" s="43" t="s">
        <v>13</v>
      </c>
      <c r="D97" s="43" t="s">
        <v>24</v>
      </c>
      <c r="E97" s="43" t="s">
        <v>56</v>
      </c>
      <c r="F97" s="47">
        <v>45725</v>
      </c>
      <c r="G97" s="43">
        <f t="shared" si="1"/>
        <v>2025</v>
      </c>
      <c r="H97" s="43">
        <v>1.5</v>
      </c>
      <c r="I97" s="48">
        <v>74000</v>
      </c>
      <c r="J97" s="44">
        <v>6.6</v>
      </c>
      <c r="K97" s="43" t="s">
        <v>16</v>
      </c>
      <c r="L97" s="43"/>
      <c r="M97" s="43"/>
    </row>
    <row r="98" spans="1:13">
      <c r="A98" s="43" t="s">
        <v>214</v>
      </c>
      <c r="B98" s="43" t="s">
        <v>215</v>
      </c>
      <c r="C98" s="43" t="s">
        <v>13</v>
      </c>
      <c r="D98" s="43" t="s">
        <v>42</v>
      </c>
      <c r="E98" s="43" t="s">
        <v>56</v>
      </c>
      <c r="F98" s="47">
        <v>45381</v>
      </c>
      <c r="G98" s="43">
        <f t="shared" si="1"/>
        <v>2024</v>
      </c>
      <c r="H98" s="43">
        <v>2.4</v>
      </c>
      <c r="I98" s="48">
        <v>74000</v>
      </c>
      <c r="J98" s="44">
        <v>8.5</v>
      </c>
      <c r="K98" s="43" t="s">
        <v>16</v>
      </c>
      <c r="L98" s="43"/>
      <c r="M98" s="43"/>
    </row>
    <row r="99" spans="1:13">
      <c r="A99" s="43" t="s">
        <v>216</v>
      </c>
      <c r="B99" s="43" t="s">
        <v>129</v>
      </c>
      <c r="C99" s="43" t="s">
        <v>19</v>
      </c>
      <c r="D99" s="43" t="s">
        <v>31</v>
      </c>
      <c r="E99" s="43" t="s">
        <v>56</v>
      </c>
      <c r="F99" s="47">
        <v>44027</v>
      </c>
      <c r="G99" s="43">
        <f t="shared" si="1"/>
        <v>2020</v>
      </c>
      <c r="H99" s="43">
        <v>6.1</v>
      </c>
      <c r="I99" s="48">
        <v>60000</v>
      </c>
      <c r="J99" s="44">
        <v>6.9</v>
      </c>
      <c r="K99" s="43" t="s">
        <v>16</v>
      </c>
      <c r="L99" s="43"/>
      <c r="M99" s="43"/>
    </row>
    <row r="100" spans="1:13">
      <c r="A100" s="43" t="s">
        <v>217</v>
      </c>
      <c r="B100" s="43" t="s">
        <v>118</v>
      </c>
      <c r="C100" s="43" t="s">
        <v>13</v>
      </c>
      <c r="D100" s="43" t="s">
        <v>68</v>
      </c>
      <c r="E100" s="43" t="s">
        <v>56</v>
      </c>
      <c r="F100" s="47">
        <v>42110</v>
      </c>
      <c r="G100" s="43">
        <f t="shared" si="1"/>
        <v>2015</v>
      </c>
      <c r="H100" s="43">
        <v>11.4</v>
      </c>
      <c r="I100" s="48">
        <v>49000</v>
      </c>
      <c r="J100" s="44">
        <v>7.7</v>
      </c>
      <c r="K100" s="43" t="s">
        <v>16</v>
      </c>
      <c r="L100" s="43"/>
      <c r="M100" s="43"/>
    </row>
    <row r="101" spans="1:13">
      <c r="A101" s="43" t="s">
        <v>218</v>
      </c>
      <c r="B101" s="43" t="s">
        <v>219</v>
      </c>
      <c r="C101" s="43" t="s">
        <v>13</v>
      </c>
      <c r="D101" s="43" t="s">
        <v>42</v>
      </c>
      <c r="E101" s="43" t="s">
        <v>56</v>
      </c>
      <c r="F101" s="47">
        <v>45130</v>
      </c>
      <c r="G101" s="43">
        <f t="shared" si="1"/>
        <v>2023</v>
      </c>
      <c r="H101" s="43">
        <v>3.1</v>
      </c>
      <c r="I101" s="48">
        <v>86000</v>
      </c>
      <c r="J101" s="44">
        <v>9.1</v>
      </c>
      <c r="K101" s="43" t="s">
        <v>16</v>
      </c>
      <c r="L101" s="43"/>
      <c r="M101" s="43"/>
    </row>
    <row r="102" spans="1:13">
      <c r="A102" s="43" t="s">
        <v>220</v>
      </c>
      <c r="B102" s="43" t="s">
        <v>221</v>
      </c>
      <c r="C102" s="43" t="s">
        <v>19</v>
      </c>
      <c r="D102" s="43" t="s">
        <v>20</v>
      </c>
      <c r="E102" s="43" t="s">
        <v>56</v>
      </c>
      <c r="F102" s="47">
        <v>44605</v>
      </c>
      <c r="G102" s="43">
        <f t="shared" si="1"/>
        <v>2022</v>
      </c>
      <c r="H102" s="43">
        <v>4.5</v>
      </c>
      <c r="I102" s="48">
        <v>112000</v>
      </c>
      <c r="J102" s="44">
        <v>8.7</v>
      </c>
      <c r="K102" s="43" t="s">
        <v>16</v>
      </c>
      <c r="L102" s="43"/>
      <c r="M102" s="43"/>
    </row>
    <row r="103" spans="1:13">
      <c r="A103" s="43" t="s">
        <v>222</v>
      </c>
      <c r="B103" s="43" t="s">
        <v>223</v>
      </c>
      <c r="C103" s="43" t="s">
        <v>19</v>
      </c>
      <c r="D103" s="43" t="s">
        <v>42</v>
      </c>
      <c r="E103" s="43" t="s">
        <v>21</v>
      </c>
      <c r="F103" s="47">
        <v>44846</v>
      </c>
      <c r="G103" s="43">
        <f t="shared" si="1"/>
        <v>2022</v>
      </c>
      <c r="H103" s="43">
        <v>3.9</v>
      </c>
      <c r="I103" s="48">
        <v>69000</v>
      </c>
      <c r="J103" s="44">
        <v>7.3</v>
      </c>
      <c r="K103" s="43" t="s">
        <v>16</v>
      </c>
      <c r="L103" s="43"/>
      <c r="M103" s="43"/>
    </row>
    <row r="104" spans="1:13">
      <c r="A104" s="43" t="s">
        <v>224</v>
      </c>
      <c r="B104" s="43" t="s">
        <v>225</v>
      </c>
      <c r="C104" s="43" t="s">
        <v>19</v>
      </c>
      <c r="D104" s="43" t="s">
        <v>24</v>
      </c>
      <c r="E104" s="43" t="s">
        <v>56</v>
      </c>
      <c r="F104" s="47">
        <v>43293</v>
      </c>
      <c r="G104" s="43">
        <f t="shared" si="1"/>
        <v>2018</v>
      </c>
      <c r="H104" s="43">
        <v>8.1</v>
      </c>
      <c r="I104" s="48">
        <v>72000</v>
      </c>
      <c r="J104" s="44">
        <v>6.2</v>
      </c>
      <c r="K104" s="43" t="s">
        <v>16</v>
      </c>
      <c r="L104" s="43"/>
      <c r="M104" s="43"/>
    </row>
    <row r="105" spans="1:13">
      <c r="A105" s="43" t="s">
        <v>226</v>
      </c>
      <c r="B105" s="43" t="s">
        <v>227</v>
      </c>
      <c r="C105" s="43" t="s">
        <v>13</v>
      </c>
      <c r="D105" s="43" t="s">
        <v>24</v>
      </c>
      <c r="E105" s="43" t="s">
        <v>21</v>
      </c>
      <c r="F105" s="47">
        <v>42773</v>
      </c>
      <c r="G105" s="43">
        <f t="shared" si="1"/>
        <v>2017</v>
      </c>
      <c r="H105" s="43">
        <v>9.5</v>
      </c>
      <c r="I105" s="48">
        <v>106000</v>
      </c>
      <c r="J105" s="44">
        <v>10</v>
      </c>
      <c r="K105" s="43" t="s">
        <v>16</v>
      </c>
      <c r="L105" s="43"/>
      <c r="M105" s="43"/>
    </row>
    <row r="106" spans="1:13">
      <c r="A106" s="43" t="s">
        <v>228</v>
      </c>
      <c r="B106" s="43" t="s">
        <v>229</v>
      </c>
      <c r="C106" s="43" t="s">
        <v>19</v>
      </c>
      <c r="D106" s="43" t="s">
        <v>68</v>
      </c>
      <c r="E106" s="43" t="s">
        <v>15</v>
      </c>
      <c r="F106" s="47">
        <v>44254</v>
      </c>
      <c r="G106" s="43">
        <f t="shared" si="1"/>
        <v>2021</v>
      </c>
      <c r="H106" s="43">
        <v>5.5</v>
      </c>
      <c r="I106" s="48">
        <v>54000</v>
      </c>
      <c r="J106" s="44">
        <v>8.6</v>
      </c>
      <c r="K106" s="43" t="s">
        <v>16</v>
      </c>
      <c r="L106" s="43"/>
      <c r="M106" s="43"/>
    </row>
    <row r="107" spans="1:13">
      <c r="A107" s="43" t="s">
        <v>230</v>
      </c>
      <c r="B107" s="43" t="s">
        <v>231</v>
      </c>
      <c r="C107" s="43" t="s">
        <v>13</v>
      </c>
      <c r="D107" s="43" t="s">
        <v>68</v>
      </c>
      <c r="E107" s="43" t="s">
        <v>21</v>
      </c>
      <c r="F107" s="47">
        <v>42653</v>
      </c>
      <c r="G107" s="43">
        <f t="shared" si="1"/>
        <v>2016</v>
      </c>
      <c r="H107" s="43">
        <v>9.9</v>
      </c>
      <c r="I107" s="48">
        <v>77000</v>
      </c>
      <c r="J107" s="44">
        <v>7</v>
      </c>
      <c r="K107" s="43" t="s">
        <v>16</v>
      </c>
      <c r="L107" s="43"/>
      <c r="M107" s="43"/>
    </row>
    <row r="108" spans="1:13">
      <c r="A108" s="43" t="s">
        <v>232</v>
      </c>
      <c r="B108" s="43" t="s">
        <v>205</v>
      </c>
      <c r="C108" s="43" t="s">
        <v>19</v>
      </c>
      <c r="D108" s="43" t="s">
        <v>31</v>
      </c>
      <c r="E108" s="43" t="s">
        <v>53</v>
      </c>
      <c r="F108" s="47">
        <v>43895</v>
      </c>
      <c r="G108" s="43">
        <f t="shared" si="1"/>
        <v>2020</v>
      </c>
      <c r="H108" s="43">
        <v>6.5</v>
      </c>
      <c r="I108" s="48">
        <v>39000</v>
      </c>
      <c r="J108" s="44">
        <v>7.1</v>
      </c>
      <c r="K108" s="43" t="s">
        <v>92</v>
      </c>
      <c r="L108" s="43"/>
      <c r="M108" s="43"/>
    </row>
    <row r="109" spans="1:13">
      <c r="A109" s="43" t="s">
        <v>233</v>
      </c>
      <c r="B109" s="43" t="s">
        <v>234</v>
      </c>
      <c r="C109" s="43" t="s">
        <v>19</v>
      </c>
      <c r="D109" s="43" t="s">
        <v>59</v>
      </c>
      <c r="E109" s="43" t="s">
        <v>25</v>
      </c>
      <c r="F109" s="47">
        <v>46020</v>
      </c>
      <c r="G109" s="43">
        <f t="shared" si="1"/>
        <v>2025</v>
      </c>
      <c r="H109" s="43">
        <v>0.7</v>
      </c>
      <c r="I109" s="48">
        <v>70000</v>
      </c>
      <c r="J109" s="44">
        <v>7</v>
      </c>
      <c r="K109" s="43" t="s">
        <v>16</v>
      </c>
      <c r="L109" s="43"/>
      <c r="M109" s="43"/>
    </row>
    <row r="110" spans="1:13">
      <c r="A110" s="43" t="s">
        <v>235</v>
      </c>
      <c r="B110" s="43" t="s">
        <v>236</v>
      </c>
      <c r="C110" s="43" t="s">
        <v>13</v>
      </c>
      <c r="D110" s="43" t="s">
        <v>31</v>
      </c>
      <c r="E110" s="43" t="s">
        <v>56</v>
      </c>
      <c r="F110" s="47">
        <v>45606</v>
      </c>
      <c r="G110" s="43">
        <f t="shared" si="1"/>
        <v>2024</v>
      </c>
      <c r="H110" s="43">
        <v>1.8</v>
      </c>
      <c r="I110" s="48">
        <v>40000</v>
      </c>
      <c r="J110" s="44">
        <v>8.1</v>
      </c>
      <c r="K110" s="43" t="s">
        <v>16</v>
      </c>
      <c r="L110" s="43"/>
      <c r="M110" s="43"/>
    </row>
    <row r="111" spans="1:13">
      <c r="A111" s="43" t="s">
        <v>237</v>
      </c>
      <c r="B111" s="43" t="s">
        <v>238</v>
      </c>
      <c r="C111" s="43" t="s">
        <v>19</v>
      </c>
      <c r="D111" s="43" t="s">
        <v>24</v>
      </c>
      <c r="E111" s="43" t="s">
        <v>25</v>
      </c>
      <c r="F111" s="47">
        <v>43163</v>
      </c>
      <c r="G111" s="43">
        <f t="shared" si="1"/>
        <v>2018</v>
      </c>
      <c r="H111" s="43">
        <v>8.5</v>
      </c>
      <c r="I111" s="48">
        <v>78000</v>
      </c>
      <c r="J111" s="44">
        <v>6.8</v>
      </c>
      <c r="K111" s="43" t="s">
        <v>16</v>
      </c>
      <c r="L111" s="43"/>
      <c r="M111" s="43"/>
    </row>
    <row r="112" spans="1:13">
      <c r="A112" s="43" t="s">
        <v>239</v>
      </c>
      <c r="B112" s="43" t="s">
        <v>240</v>
      </c>
      <c r="C112" s="43" t="s">
        <v>19</v>
      </c>
      <c r="D112" s="43" t="s">
        <v>28</v>
      </c>
      <c r="E112" s="43" t="s">
        <v>56</v>
      </c>
      <c r="F112" s="47">
        <v>43366</v>
      </c>
      <c r="G112" s="43">
        <f t="shared" si="1"/>
        <v>2018</v>
      </c>
      <c r="H112" s="43">
        <v>7.9</v>
      </c>
      <c r="I112" s="48">
        <v>115000</v>
      </c>
      <c r="J112" s="44">
        <v>7.6</v>
      </c>
      <c r="K112" s="43" t="s">
        <v>92</v>
      </c>
      <c r="L112" s="43"/>
      <c r="M112" s="43"/>
    </row>
    <row r="113" spans="1:13">
      <c r="A113" s="43" t="s">
        <v>241</v>
      </c>
      <c r="B113" s="43" t="s">
        <v>155</v>
      </c>
      <c r="C113" s="43" t="s">
        <v>13</v>
      </c>
      <c r="D113" s="43" t="s">
        <v>24</v>
      </c>
      <c r="E113" s="43" t="s">
        <v>21</v>
      </c>
      <c r="F113" s="47">
        <v>45181</v>
      </c>
      <c r="G113" s="43">
        <f t="shared" si="1"/>
        <v>2023</v>
      </c>
      <c r="H113" s="43">
        <v>3</v>
      </c>
      <c r="I113" s="48">
        <v>92000</v>
      </c>
      <c r="J113" s="44">
        <v>6.4</v>
      </c>
      <c r="K113" s="43" t="s">
        <v>16</v>
      </c>
      <c r="L113" s="43"/>
      <c r="M113" s="43"/>
    </row>
    <row r="114" spans="1:13">
      <c r="A114" s="43" t="s">
        <v>242</v>
      </c>
      <c r="B114" s="43" t="s">
        <v>243</v>
      </c>
      <c r="C114" s="43" t="s">
        <v>19</v>
      </c>
      <c r="D114" s="43" t="s">
        <v>28</v>
      </c>
      <c r="E114" s="43" t="s">
        <v>53</v>
      </c>
      <c r="F114" s="47">
        <v>45250</v>
      </c>
      <c r="G114" s="43">
        <f t="shared" si="1"/>
        <v>2023</v>
      </c>
      <c r="H114" s="43">
        <v>2.8</v>
      </c>
      <c r="I114" s="48">
        <v>64000</v>
      </c>
      <c r="J114" s="44">
        <v>7.2</v>
      </c>
      <c r="K114" s="43" t="s">
        <v>16</v>
      </c>
      <c r="L114" s="43"/>
      <c r="M114" s="43"/>
    </row>
    <row r="115" spans="1:13">
      <c r="A115" s="43" t="s">
        <v>244</v>
      </c>
      <c r="B115" s="43" t="s">
        <v>82</v>
      </c>
      <c r="C115" s="43" t="s">
        <v>19</v>
      </c>
      <c r="D115" s="43" t="s">
        <v>42</v>
      </c>
      <c r="E115" s="43" t="s">
        <v>56</v>
      </c>
      <c r="F115" s="47">
        <v>44159</v>
      </c>
      <c r="G115" s="43">
        <f t="shared" si="1"/>
        <v>2020</v>
      </c>
      <c r="H115" s="43">
        <v>5.7</v>
      </c>
      <c r="I115" s="48">
        <v>67000</v>
      </c>
      <c r="J115" s="44">
        <v>7.5</v>
      </c>
      <c r="K115" s="43" t="s">
        <v>16</v>
      </c>
      <c r="L115" s="43"/>
      <c r="M115" s="43"/>
    </row>
    <row r="116" spans="1:13">
      <c r="A116" s="43" t="s">
        <v>245</v>
      </c>
      <c r="B116" s="43" t="s">
        <v>182</v>
      </c>
      <c r="C116" s="43" t="s">
        <v>13</v>
      </c>
      <c r="D116" s="43" t="s">
        <v>68</v>
      </c>
      <c r="E116" s="43" t="s">
        <v>15</v>
      </c>
      <c r="F116" s="47">
        <v>43928</v>
      </c>
      <c r="G116" s="43">
        <f t="shared" si="1"/>
        <v>2020</v>
      </c>
      <c r="H116" s="43">
        <v>6.4</v>
      </c>
      <c r="I116" s="48">
        <v>71000</v>
      </c>
      <c r="J116" s="44">
        <v>6.6</v>
      </c>
      <c r="K116" s="43" t="s">
        <v>16</v>
      </c>
      <c r="L116" s="43"/>
      <c r="M116" s="43"/>
    </row>
    <row r="117" spans="1:13">
      <c r="A117" s="43" t="s">
        <v>246</v>
      </c>
      <c r="B117" s="43" t="s">
        <v>58</v>
      </c>
      <c r="C117" s="43" t="s">
        <v>19</v>
      </c>
      <c r="D117" s="43" t="s">
        <v>42</v>
      </c>
      <c r="E117" s="43" t="s">
        <v>21</v>
      </c>
      <c r="F117" s="47">
        <v>43302</v>
      </c>
      <c r="G117" s="43">
        <f t="shared" si="1"/>
        <v>2018</v>
      </c>
      <c r="H117" s="43">
        <v>8.1</v>
      </c>
      <c r="I117" s="48">
        <v>78000</v>
      </c>
      <c r="J117" s="44">
        <v>8.9</v>
      </c>
      <c r="K117" s="43" t="s">
        <v>16</v>
      </c>
      <c r="L117" s="43"/>
      <c r="M117" s="43"/>
    </row>
    <row r="118" spans="1:13">
      <c r="A118" s="43" t="s">
        <v>247</v>
      </c>
      <c r="B118" s="43" t="s">
        <v>248</v>
      </c>
      <c r="C118" s="43" t="s">
        <v>19</v>
      </c>
      <c r="D118" s="43" t="s">
        <v>20</v>
      </c>
      <c r="E118" s="43" t="s">
        <v>15</v>
      </c>
      <c r="F118" s="47">
        <v>44590</v>
      </c>
      <c r="G118" s="43">
        <f t="shared" si="1"/>
        <v>2022</v>
      </c>
      <c r="H118" s="43">
        <v>4.6</v>
      </c>
      <c r="I118" s="48">
        <v>125000</v>
      </c>
      <c r="J118" s="44">
        <v>10</v>
      </c>
      <c r="K118" s="43" t="s">
        <v>16</v>
      </c>
      <c r="L118" s="43"/>
      <c r="M118" s="43"/>
    </row>
    <row r="119" spans="1:13">
      <c r="A119" s="43" t="s">
        <v>249</v>
      </c>
      <c r="B119" s="43" t="s">
        <v>250</v>
      </c>
      <c r="C119" s="43" t="s">
        <v>19</v>
      </c>
      <c r="D119" s="43" t="s">
        <v>68</v>
      </c>
      <c r="E119" s="43" t="s">
        <v>53</v>
      </c>
      <c r="F119" s="47">
        <v>43822</v>
      </c>
      <c r="G119" s="43">
        <f t="shared" si="1"/>
        <v>2019</v>
      </c>
      <c r="H119" s="43">
        <v>6.7</v>
      </c>
      <c r="I119" s="48">
        <v>59000</v>
      </c>
      <c r="J119" s="44">
        <v>5.7</v>
      </c>
      <c r="K119" s="43" t="s">
        <v>16</v>
      </c>
      <c r="L119" s="43"/>
      <c r="M119" s="43"/>
    </row>
    <row r="120" spans="1:13">
      <c r="A120" s="43" t="s">
        <v>251</v>
      </c>
      <c r="B120" s="43" t="s">
        <v>252</v>
      </c>
      <c r="C120" s="43" t="s">
        <v>13</v>
      </c>
      <c r="D120" s="43" t="s">
        <v>42</v>
      </c>
      <c r="E120" s="43" t="s">
        <v>21</v>
      </c>
      <c r="F120" s="47">
        <v>43540</v>
      </c>
      <c r="G120" s="43">
        <f t="shared" si="1"/>
        <v>2019</v>
      </c>
      <c r="H120" s="43">
        <v>7.4</v>
      </c>
      <c r="I120" s="48">
        <v>65000</v>
      </c>
      <c r="J120" s="44">
        <v>8.3</v>
      </c>
      <c r="K120" s="43" t="s">
        <v>16</v>
      </c>
      <c r="L120" s="43"/>
      <c r="M120" s="43"/>
    </row>
    <row r="121" spans="1:13">
      <c r="A121" s="43" t="s">
        <v>253</v>
      </c>
      <c r="B121" s="43" t="s">
        <v>254</v>
      </c>
      <c r="C121" s="43" t="s">
        <v>13</v>
      </c>
      <c r="D121" s="43" t="s">
        <v>20</v>
      </c>
      <c r="E121" s="43" t="s">
        <v>53</v>
      </c>
      <c r="F121" s="47">
        <v>44543</v>
      </c>
      <c r="G121" s="43">
        <f t="shared" si="1"/>
        <v>2021</v>
      </c>
      <c r="H121" s="43">
        <v>4.7</v>
      </c>
      <c r="I121" s="48">
        <v>126000</v>
      </c>
      <c r="J121" s="44">
        <v>8.6</v>
      </c>
      <c r="K121" s="43" t="s">
        <v>16</v>
      </c>
      <c r="L121" s="43"/>
      <c r="M121" s="43"/>
    </row>
    <row r="122" spans="1:13">
      <c r="A122" s="43" t="s">
        <v>255</v>
      </c>
      <c r="B122" s="43" t="s">
        <v>23</v>
      </c>
      <c r="C122" s="43" t="s">
        <v>13</v>
      </c>
      <c r="D122" s="43" t="s">
        <v>68</v>
      </c>
      <c r="E122" s="43" t="s">
        <v>56</v>
      </c>
      <c r="F122" s="47">
        <v>44736</v>
      </c>
      <c r="G122" s="43">
        <f t="shared" si="1"/>
        <v>2022</v>
      </c>
      <c r="H122" s="43">
        <v>4.2</v>
      </c>
      <c r="I122" s="48">
        <v>39000</v>
      </c>
      <c r="J122" s="44">
        <v>8.5</v>
      </c>
      <c r="K122" s="43" t="s">
        <v>16</v>
      </c>
      <c r="L122" s="43"/>
      <c r="M122" s="43"/>
    </row>
    <row r="123" spans="1:13">
      <c r="A123" s="43" t="s">
        <v>256</v>
      </c>
      <c r="B123" s="43" t="s">
        <v>257</v>
      </c>
      <c r="C123" s="43" t="s">
        <v>13</v>
      </c>
      <c r="D123" s="43" t="s">
        <v>31</v>
      </c>
      <c r="E123" s="43" t="s">
        <v>53</v>
      </c>
      <c r="F123" s="47">
        <v>43230</v>
      </c>
      <c r="G123" s="43">
        <f t="shared" si="1"/>
        <v>2018</v>
      </c>
      <c r="H123" s="43">
        <v>8.3</v>
      </c>
      <c r="I123" s="48">
        <v>72000</v>
      </c>
      <c r="J123" s="44">
        <v>6.8</v>
      </c>
      <c r="K123" s="43" t="s">
        <v>92</v>
      </c>
      <c r="L123" s="43"/>
      <c r="M123" s="43"/>
    </row>
    <row r="124" spans="1:13">
      <c r="A124" s="43" t="s">
        <v>258</v>
      </c>
      <c r="B124" s="43" t="s">
        <v>259</v>
      </c>
      <c r="C124" s="43" t="s">
        <v>19</v>
      </c>
      <c r="D124" s="43" t="s">
        <v>59</v>
      </c>
      <c r="E124" s="43" t="s">
        <v>53</v>
      </c>
      <c r="F124" s="47">
        <v>45500</v>
      </c>
      <c r="G124" s="43">
        <f t="shared" si="1"/>
        <v>2024</v>
      </c>
      <c r="H124" s="43">
        <v>2.1</v>
      </c>
      <c r="I124" s="48">
        <v>70000</v>
      </c>
      <c r="J124" s="44">
        <v>8.3</v>
      </c>
      <c r="K124" s="43" t="s">
        <v>16</v>
      </c>
      <c r="L124" s="43"/>
      <c r="M124" s="43"/>
    </row>
    <row r="125" spans="1:13">
      <c r="A125" s="43" t="s">
        <v>260</v>
      </c>
      <c r="B125" s="43" t="s">
        <v>212</v>
      </c>
      <c r="C125" s="43" t="s">
        <v>19</v>
      </c>
      <c r="D125" s="43" t="s">
        <v>20</v>
      </c>
      <c r="E125" s="43" t="s">
        <v>25</v>
      </c>
      <c r="F125" s="47">
        <v>43626</v>
      </c>
      <c r="G125" s="43">
        <f t="shared" si="1"/>
        <v>2019</v>
      </c>
      <c r="H125" s="43">
        <v>7.2</v>
      </c>
      <c r="I125" s="48">
        <v>85000</v>
      </c>
      <c r="J125" s="44">
        <v>8.2</v>
      </c>
      <c r="K125" s="43" t="s">
        <v>16</v>
      </c>
      <c r="L125" s="43"/>
      <c r="M125" s="43"/>
    </row>
    <row r="126" spans="1:13">
      <c r="A126" s="43" t="s">
        <v>261</v>
      </c>
      <c r="B126" s="43" t="s">
        <v>44</v>
      </c>
      <c r="C126" s="43" t="s">
        <v>13</v>
      </c>
      <c r="D126" s="43" t="s">
        <v>68</v>
      </c>
      <c r="E126" s="43" t="s">
        <v>25</v>
      </c>
      <c r="F126" s="47">
        <v>45703</v>
      </c>
      <c r="G126" s="43">
        <f t="shared" si="1"/>
        <v>2025</v>
      </c>
      <c r="H126" s="43">
        <v>1.5</v>
      </c>
      <c r="I126" s="48">
        <v>74000</v>
      </c>
      <c r="J126" s="44">
        <v>7.6</v>
      </c>
      <c r="K126" s="43" t="s">
        <v>16</v>
      </c>
      <c r="L126" s="43"/>
      <c r="M126" s="43"/>
    </row>
    <row r="127" spans="1:13">
      <c r="A127" s="43" t="s">
        <v>262</v>
      </c>
      <c r="B127" s="43" t="s">
        <v>263</v>
      </c>
      <c r="C127" s="43" t="s">
        <v>13</v>
      </c>
      <c r="D127" s="43" t="s">
        <v>68</v>
      </c>
      <c r="E127" s="43" t="s">
        <v>25</v>
      </c>
      <c r="F127" s="47">
        <v>44957</v>
      </c>
      <c r="G127" s="43">
        <f t="shared" si="1"/>
        <v>2023</v>
      </c>
      <c r="H127" s="43">
        <v>3.6</v>
      </c>
      <c r="I127" s="48">
        <v>55000</v>
      </c>
      <c r="J127" s="44">
        <v>6.7</v>
      </c>
      <c r="K127" s="43" t="s">
        <v>16</v>
      </c>
      <c r="L127" s="43"/>
      <c r="M127" s="43"/>
    </row>
    <row r="128" spans="1:13">
      <c r="A128" s="43" t="s">
        <v>264</v>
      </c>
      <c r="B128" s="43" t="s">
        <v>265</v>
      </c>
      <c r="C128" s="43" t="s">
        <v>13</v>
      </c>
      <c r="D128" s="43" t="s">
        <v>28</v>
      </c>
      <c r="E128" s="43" t="s">
        <v>56</v>
      </c>
      <c r="F128" s="47">
        <v>45004</v>
      </c>
      <c r="G128" s="43">
        <f t="shared" si="1"/>
        <v>2023</v>
      </c>
      <c r="H128" s="43">
        <v>3.4</v>
      </c>
      <c r="I128" s="48">
        <v>61000</v>
      </c>
      <c r="J128" s="44">
        <v>8.3</v>
      </c>
      <c r="K128" s="43" t="s">
        <v>16</v>
      </c>
      <c r="L128" s="43"/>
      <c r="M128" s="43"/>
    </row>
    <row r="129" spans="1:13">
      <c r="A129" s="43" t="s">
        <v>266</v>
      </c>
      <c r="B129" s="43" t="s">
        <v>267</v>
      </c>
      <c r="C129" s="43" t="s">
        <v>13</v>
      </c>
      <c r="D129" s="43" t="s">
        <v>42</v>
      </c>
      <c r="E129" s="43" t="s">
        <v>53</v>
      </c>
      <c r="F129" s="47">
        <v>43503</v>
      </c>
      <c r="G129" s="43">
        <f t="shared" si="1"/>
        <v>2019</v>
      </c>
      <c r="H129" s="43">
        <v>7.5</v>
      </c>
      <c r="I129" s="48">
        <v>71000</v>
      </c>
      <c r="J129" s="44">
        <v>8</v>
      </c>
      <c r="K129" s="43" t="s">
        <v>16</v>
      </c>
      <c r="L129" s="43"/>
      <c r="M129" s="43"/>
    </row>
    <row r="130" spans="1:13">
      <c r="A130" s="43" t="s">
        <v>268</v>
      </c>
      <c r="B130" s="43" t="s">
        <v>269</v>
      </c>
      <c r="C130" s="43" t="s">
        <v>19</v>
      </c>
      <c r="D130" s="43" t="s">
        <v>59</v>
      </c>
      <c r="E130" s="43" t="s">
        <v>25</v>
      </c>
      <c r="F130" s="47">
        <v>43978</v>
      </c>
      <c r="G130" s="43">
        <f t="shared" si="1"/>
        <v>2020</v>
      </c>
      <c r="H130" s="43">
        <v>6.2</v>
      </c>
      <c r="I130" s="48">
        <v>91000</v>
      </c>
      <c r="J130" s="44">
        <v>6.9</v>
      </c>
      <c r="K130" s="43" t="s">
        <v>16</v>
      </c>
      <c r="L130" s="43"/>
      <c r="M130" s="43"/>
    </row>
    <row r="131" spans="1:13">
      <c r="A131" s="43" t="s">
        <v>270</v>
      </c>
      <c r="B131" s="43" t="s">
        <v>271</v>
      </c>
      <c r="C131" s="43" t="s">
        <v>19</v>
      </c>
      <c r="D131" s="43" t="s">
        <v>68</v>
      </c>
      <c r="E131" s="43" t="s">
        <v>21</v>
      </c>
      <c r="F131" s="47">
        <v>44775</v>
      </c>
      <c r="G131" s="43">
        <f t="shared" ref="G131:G194" si="2">YEAR(F131)</f>
        <v>2022</v>
      </c>
      <c r="H131" s="43">
        <v>4.1</v>
      </c>
      <c r="I131" s="48">
        <v>88000</v>
      </c>
      <c r="J131" s="44">
        <v>9.6</v>
      </c>
      <c r="K131" s="43" t="s">
        <v>92</v>
      </c>
      <c r="L131" s="43"/>
      <c r="M131" s="43"/>
    </row>
    <row r="132" spans="1:13">
      <c r="A132" s="43" t="s">
        <v>272</v>
      </c>
      <c r="B132" s="43" t="s">
        <v>273</v>
      </c>
      <c r="C132" s="43" t="s">
        <v>19</v>
      </c>
      <c r="D132" s="43" t="s">
        <v>28</v>
      </c>
      <c r="E132" s="43" t="s">
        <v>21</v>
      </c>
      <c r="F132" s="47">
        <v>42511</v>
      </c>
      <c r="G132" s="43">
        <f t="shared" si="2"/>
        <v>2016</v>
      </c>
      <c r="H132" s="43">
        <v>10.3</v>
      </c>
      <c r="I132" s="48">
        <v>103000</v>
      </c>
      <c r="J132" s="44">
        <v>6.3</v>
      </c>
      <c r="K132" s="43" t="s">
        <v>16</v>
      </c>
      <c r="L132" s="43"/>
      <c r="M132" s="43"/>
    </row>
    <row r="133" spans="1:13">
      <c r="A133" s="43" t="s">
        <v>274</v>
      </c>
      <c r="B133" s="43" t="s">
        <v>151</v>
      </c>
      <c r="C133" s="43" t="s">
        <v>19</v>
      </c>
      <c r="D133" s="43" t="s">
        <v>31</v>
      </c>
      <c r="E133" s="43" t="s">
        <v>15</v>
      </c>
      <c r="F133" s="47">
        <v>42962</v>
      </c>
      <c r="G133" s="43">
        <f t="shared" si="2"/>
        <v>2017</v>
      </c>
      <c r="H133" s="43">
        <v>9</v>
      </c>
      <c r="I133" s="48">
        <v>62000</v>
      </c>
      <c r="J133" s="44">
        <v>8.8</v>
      </c>
      <c r="K133" s="43" t="s">
        <v>16</v>
      </c>
      <c r="L133" s="43"/>
      <c r="M133" s="43"/>
    </row>
    <row r="134" spans="1:13">
      <c r="A134" s="43" t="s">
        <v>275</v>
      </c>
      <c r="B134" s="43" t="s">
        <v>44</v>
      </c>
      <c r="C134" s="43" t="s">
        <v>19</v>
      </c>
      <c r="D134" s="43" t="s">
        <v>59</v>
      </c>
      <c r="E134" s="43" t="s">
        <v>15</v>
      </c>
      <c r="F134" s="47">
        <v>45379</v>
      </c>
      <c r="G134" s="43">
        <f t="shared" si="2"/>
        <v>2024</v>
      </c>
      <c r="H134" s="43">
        <v>2.4</v>
      </c>
      <c r="I134" s="48">
        <v>69000</v>
      </c>
      <c r="J134" s="44">
        <v>8.3</v>
      </c>
      <c r="K134" s="43" t="s">
        <v>16</v>
      </c>
      <c r="L134" s="43"/>
      <c r="M134" s="43"/>
    </row>
    <row r="135" spans="1:13">
      <c r="A135" s="43" t="s">
        <v>276</v>
      </c>
      <c r="B135" s="43" t="s">
        <v>18</v>
      </c>
      <c r="C135" s="43" t="s">
        <v>13</v>
      </c>
      <c r="D135" s="43" t="s">
        <v>59</v>
      </c>
      <c r="E135" s="43" t="s">
        <v>56</v>
      </c>
      <c r="F135" s="47">
        <v>42403</v>
      </c>
      <c r="G135" s="43">
        <f t="shared" si="2"/>
        <v>2016</v>
      </c>
      <c r="H135" s="43">
        <v>10.6</v>
      </c>
      <c r="I135" s="48">
        <v>55000</v>
      </c>
      <c r="J135" s="44">
        <v>7</v>
      </c>
      <c r="K135" s="43" t="s">
        <v>92</v>
      </c>
      <c r="L135" s="43"/>
      <c r="M135" s="43"/>
    </row>
    <row r="136" spans="1:13">
      <c r="A136" s="43" t="s">
        <v>277</v>
      </c>
      <c r="B136" s="43" t="s">
        <v>203</v>
      </c>
      <c r="C136" s="43" t="s">
        <v>13</v>
      </c>
      <c r="D136" s="43" t="s">
        <v>28</v>
      </c>
      <c r="E136" s="43" t="s">
        <v>53</v>
      </c>
      <c r="F136" s="47">
        <v>44857</v>
      </c>
      <c r="G136" s="43">
        <f t="shared" si="2"/>
        <v>2022</v>
      </c>
      <c r="H136" s="43">
        <v>3.8</v>
      </c>
      <c r="I136" s="48">
        <v>114000</v>
      </c>
      <c r="J136" s="44">
        <v>5.9</v>
      </c>
      <c r="K136" s="43" t="s">
        <v>16</v>
      </c>
      <c r="L136" s="43"/>
      <c r="M136" s="43"/>
    </row>
    <row r="137" spans="1:13">
      <c r="A137" s="43" t="s">
        <v>278</v>
      </c>
      <c r="B137" s="43" t="s">
        <v>279</v>
      </c>
      <c r="C137" s="43" t="s">
        <v>19</v>
      </c>
      <c r="D137" s="43" t="s">
        <v>42</v>
      </c>
      <c r="E137" s="43" t="s">
        <v>56</v>
      </c>
      <c r="F137" s="47">
        <v>45851</v>
      </c>
      <c r="G137" s="43">
        <f t="shared" si="2"/>
        <v>2025</v>
      </c>
      <c r="H137" s="43">
        <v>1.1</v>
      </c>
      <c r="I137" s="48">
        <v>55000</v>
      </c>
      <c r="J137" s="44">
        <v>8.4</v>
      </c>
      <c r="K137" s="43" t="s">
        <v>16</v>
      </c>
      <c r="L137" s="43"/>
      <c r="M137" s="43"/>
    </row>
    <row r="138" spans="1:13">
      <c r="A138" s="43" t="s">
        <v>280</v>
      </c>
      <c r="B138" s="43" t="s">
        <v>281</v>
      </c>
      <c r="C138" s="43" t="s">
        <v>19</v>
      </c>
      <c r="D138" s="43" t="s">
        <v>28</v>
      </c>
      <c r="E138" s="43" t="s">
        <v>21</v>
      </c>
      <c r="F138" s="47">
        <v>43490</v>
      </c>
      <c r="G138" s="43">
        <f t="shared" si="2"/>
        <v>2019</v>
      </c>
      <c r="H138" s="43">
        <v>7.6</v>
      </c>
      <c r="I138" s="48">
        <v>57000</v>
      </c>
      <c r="J138" s="44">
        <v>8.5</v>
      </c>
      <c r="K138" s="43" t="s">
        <v>92</v>
      </c>
      <c r="L138" s="43"/>
      <c r="M138" s="43"/>
    </row>
    <row r="139" spans="1:13">
      <c r="A139" s="43" t="s">
        <v>282</v>
      </c>
      <c r="B139" s="43" t="s">
        <v>283</v>
      </c>
      <c r="C139" s="43" t="s">
        <v>19</v>
      </c>
      <c r="D139" s="43" t="s">
        <v>59</v>
      </c>
      <c r="E139" s="43" t="s">
        <v>53</v>
      </c>
      <c r="F139" s="47">
        <v>45892</v>
      </c>
      <c r="G139" s="43">
        <f t="shared" si="2"/>
        <v>2025</v>
      </c>
      <c r="H139" s="43">
        <v>1</v>
      </c>
      <c r="I139" s="48">
        <v>94000</v>
      </c>
      <c r="J139" s="44">
        <v>7.4</v>
      </c>
      <c r="K139" s="43" t="s">
        <v>16</v>
      </c>
      <c r="L139" s="43"/>
      <c r="M139" s="43"/>
    </row>
    <row r="140" spans="1:13">
      <c r="A140" s="43" t="s">
        <v>284</v>
      </c>
      <c r="B140" s="43" t="s">
        <v>285</v>
      </c>
      <c r="C140" s="43" t="s">
        <v>13</v>
      </c>
      <c r="D140" s="43" t="s">
        <v>68</v>
      </c>
      <c r="E140" s="43" t="s">
        <v>56</v>
      </c>
      <c r="F140" s="47">
        <v>42092</v>
      </c>
      <c r="G140" s="43">
        <f t="shared" si="2"/>
        <v>2015</v>
      </c>
      <c r="H140" s="43">
        <v>11.4</v>
      </c>
      <c r="I140" s="48">
        <v>44000</v>
      </c>
      <c r="J140" s="44">
        <v>7.7</v>
      </c>
      <c r="K140" s="43" t="s">
        <v>16</v>
      </c>
      <c r="L140" s="43"/>
      <c r="M140" s="43"/>
    </row>
    <row r="141" spans="1:13">
      <c r="A141" s="43" t="s">
        <v>286</v>
      </c>
      <c r="B141" s="43" t="s">
        <v>140</v>
      </c>
      <c r="C141" s="43" t="s">
        <v>13</v>
      </c>
      <c r="D141" s="43" t="s">
        <v>42</v>
      </c>
      <c r="E141" s="43" t="s">
        <v>15</v>
      </c>
      <c r="F141" s="47">
        <v>42889</v>
      </c>
      <c r="G141" s="43">
        <f t="shared" si="2"/>
        <v>2017</v>
      </c>
      <c r="H141" s="43">
        <v>9.2</v>
      </c>
      <c r="I141" s="48">
        <v>90000</v>
      </c>
      <c r="J141" s="44">
        <v>6.7</v>
      </c>
      <c r="K141" s="43" t="s">
        <v>16</v>
      </c>
      <c r="L141" s="43"/>
      <c r="M141" s="43"/>
    </row>
    <row r="142" spans="1:13">
      <c r="A142" s="43" t="s">
        <v>287</v>
      </c>
      <c r="B142" s="43" t="s">
        <v>288</v>
      </c>
      <c r="C142" s="43" t="s">
        <v>19</v>
      </c>
      <c r="D142" s="43" t="s">
        <v>42</v>
      </c>
      <c r="E142" s="43" t="s">
        <v>56</v>
      </c>
      <c r="F142" s="47">
        <v>43140</v>
      </c>
      <c r="G142" s="43">
        <f t="shared" si="2"/>
        <v>2018</v>
      </c>
      <c r="H142" s="43">
        <v>8.5</v>
      </c>
      <c r="I142" s="48">
        <v>92000</v>
      </c>
      <c r="J142" s="44">
        <v>10</v>
      </c>
      <c r="K142" s="43" t="s">
        <v>16</v>
      </c>
      <c r="L142" s="43"/>
      <c r="M142" s="43"/>
    </row>
    <row r="143" spans="1:13">
      <c r="A143" s="43" t="s">
        <v>289</v>
      </c>
      <c r="B143" s="43" t="s">
        <v>290</v>
      </c>
      <c r="C143" s="43" t="s">
        <v>13</v>
      </c>
      <c r="D143" s="43" t="s">
        <v>42</v>
      </c>
      <c r="E143" s="43" t="s">
        <v>15</v>
      </c>
      <c r="F143" s="47">
        <v>43472</v>
      </c>
      <c r="G143" s="43">
        <f t="shared" si="2"/>
        <v>2019</v>
      </c>
      <c r="H143" s="43">
        <v>7.6</v>
      </c>
      <c r="I143" s="48">
        <v>88000</v>
      </c>
      <c r="J143" s="44">
        <v>7.2</v>
      </c>
      <c r="K143" s="43" t="s">
        <v>16</v>
      </c>
      <c r="L143" s="43"/>
      <c r="M143" s="43"/>
    </row>
    <row r="144" spans="1:13">
      <c r="A144" s="43" t="s">
        <v>291</v>
      </c>
      <c r="B144" s="43" t="s">
        <v>292</v>
      </c>
      <c r="C144" s="43" t="s">
        <v>19</v>
      </c>
      <c r="D144" s="43" t="s">
        <v>59</v>
      </c>
      <c r="E144" s="43" t="s">
        <v>15</v>
      </c>
      <c r="F144" s="47">
        <v>43729</v>
      </c>
      <c r="G144" s="43">
        <f t="shared" si="2"/>
        <v>2019</v>
      </c>
      <c r="H144" s="43">
        <v>6.9</v>
      </c>
      <c r="I144" s="48">
        <v>73000</v>
      </c>
      <c r="J144" s="44">
        <v>7.8</v>
      </c>
      <c r="K144" s="43" t="s">
        <v>16</v>
      </c>
      <c r="L144" s="43"/>
      <c r="M144" s="43"/>
    </row>
    <row r="145" spans="1:13">
      <c r="A145" s="43" t="s">
        <v>293</v>
      </c>
      <c r="B145" s="43" t="s">
        <v>294</v>
      </c>
      <c r="C145" s="43" t="s">
        <v>19</v>
      </c>
      <c r="D145" s="43" t="s">
        <v>20</v>
      </c>
      <c r="E145" s="43" t="s">
        <v>56</v>
      </c>
      <c r="F145" s="47">
        <v>45877</v>
      </c>
      <c r="G145" s="43">
        <f t="shared" si="2"/>
        <v>2025</v>
      </c>
      <c r="H145" s="43">
        <v>1</v>
      </c>
      <c r="I145" s="48">
        <v>128000</v>
      </c>
      <c r="J145" s="44">
        <v>7.8</v>
      </c>
      <c r="K145" s="43" t="s">
        <v>16</v>
      </c>
      <c r="L145" s="43"/>
      <c r="M145" s="43"/>
    </row>
    <row r="146" spans="1:13">
      <c r="A146" s="43" t="s">
        <v>295</v>
      </c>
      <c r="B146" s="43" t="s">
        <v>296</v>
      </c>
      <c r="C146" s="43" t="s">
        <v>19</v>
      </c>
      <c r="D146" s="43" t="s">
        <v>31</v>
      </c>
      <c r="E146" s="43" t="s">
        <v>15</v>
      </c>
      <c r="F146" s="47">
        <v>43966</v>
      </c>
      <c r="G146" s="43">
        <f t="shared" si="2"/>
        <v>2020</v>
      </c>
      <c r="H146" s="43">
        <v>6.3</v>
      </c>
      <c r="I146" s="48">
        <v>57000</v>
      </c>
      <c r="J146" s="44">
        <v>7</v>
      </c>
      <c r="K146" s="43" t="s">
        <v>16</v>
      </c>
      <c r="L146" s="43"/>
      <c r="M146" s="43"/>
    </row>
    <row r="147" spans="1:13">
      <c r="A147" s="43" t="s">
        <v>297</v>
      </c>
      <c r="B147" s="43" t="s">
        <v>298</v>
      </c>
      <c r="C147" s="43" t="s">
        <v>19</v>
      </c>
      <c r="D147" s="43" t="s">
        <v>59</v>
      </c>
      <c r="E147" s="43" t="s">
        <v>15</v>
      </c>
      <c r="F147" s="47">
        <v>42521</v>
      </c>
      <c r="G147" s="43">
        <f t="shared" si="2"/>
        <v>2016</v>
      </c>
      <c r="H147" s="43">
        <v>10.2</v>
      </c>
      <c r="I147" s="48">
        <v>57000</v>
      </c>
      <c r="J147" s="44">
        <v>7.7</v>
      </c>
      <c r="K147" s="43" t="s">
        <v>16</v>
      </c>
      <c r="L147" s="43"/>
      <c r="M147" s="43"/>
    </row>
    <row r="148" spans="1:13">
      <c r="A148" s="43" t="s">
        <v>299</v>
      </c>
      <c r="B148" s="43" t="s">
        <v>300</v>
      </c>
      <c r="C148" s="43" t="s">
        <v>19</v>
      </c>
      <c r="D148" s="43" t="s">
        <v>24</v>
      </c>
      <c r="E148" s="43" t="s">
        <v>56</v>
      </c>
      <c r="F148" s="47">
        <v>44484</v>
      </c>
      <c r="G148" s="43">
        <f t="shared" si="2"/>
        <v>2021</v>
      </c>
      <c r="H148" s="43">
        <v>4.9</v>
      </c>
      <c r="I148" s="48">
        <v>95000</v>
      </c>
      <c r="J148" s="44">
        <v>8.9</v>
      </c>
      <c r="K148" s="43" t="s">
        <v>16</v>
      </c>
      <c r="L148" s="43"/>
      <c r="M148" s="43"/>
    </row>
    <row r="149" spans="1:13">
      <c r="A149" s="43" t="s">
        <v>301</v>
      </c>
      <c r="B149" s="43" t="s">
        <v>78</v>
      </c>
      <c r="C149" s="43" t="s">
        <v>13</v>
      </c>
      <c r="D149" s="43" t="s">
        <v>42</v>
      </c>
      <c r="E149" s="43" t="s">
        <v>21</v>
      </c>
      <c r="F149" s="47">
        <v>45394</v>
      </c>
      <c r="G149" s="43">
        <f t="shared" si="2"/>
        <v>2024</v>
      </c>
      <c r="H149" s="43">
        <v>2.4</v>
      </c>
      <c r="I149" s="48">
        <v>67000</v>
      </c>
      <c r="J149" s="44">
        <v>8.5</v>
      </c>
      <c r="K149" s="43" t="s">
        <v>16</v>
      </c>
      <c r="L149" s="43"/>
      <c r="M149" s="43"/>
    </row>
    <row r="150" spans="1:13">
      <c r="A150" s="43" t="s">
        <v>302</v>
      </c>
      <c r="B150" s="43" t="s">
        <v>303</v>
      </c>
      <c r="C150" s="43" t="s">
        <v>13</v>
      </c>
      <c r="D150" s="43" t="s">
        <v>59</v>
      </c>
      <c r="E150" s="43" t="s">
        <v>21</v>
      </c>
      <c r="F150" s="47">
        <v>45910</v>
      </c>
      <c r="G150" s="43">
        <f t="shared" si="2"/>
        <v>2025</v>
      </c>
      <c r="H150" s="43">
        <v>1</v>
      </c>
      <c r="I150" s="48">
        <v>49000</v>
      </c>
      <c r="J150" s="44">
        <v>7</v>
      </c>
      <c r="K150" s="43" t="s">
        <v>16</v>
      </c>
      <c r="L150" s="43"/>
      <c r="M150" s="43"/>
    </row>
    <row r="151" spans="1:13">
      <c r="A151" s="43" t="s">
        <v>304</v>
      </c>
      <c r="B151" s="43" t="s">
        <v>305</v>
      </c>
      <c r="C151" s="43" t="s">
        <v>13</v>
      </c>
      <c r="D151" s="43" t="s">
        <v>20</v>
      </c>
      <c r="E151" s="43" t="s">
        <v>25</v>
      </c>
      <c r="F151" s="47">
        <v>45330</v>
      </c>
      <c r="G151" s="43">
        <f t="shared" si="2"/>
        <v>2024</v>
      </c>
      <c r="H151" s="43">
        <v>2.5</v>
      </c>
      <c r="I151" s="48">
        <v>66000</v>
      </c>
      <c r="J151" s="44">
        <v>6.3</v>
      </c>
      <c r="K151" s="43" t="s">
        <v>16</v>
      </c>
      <c r="L151" s="43"/>
      <c r="M151" s="43"/>
    </row>
    <row r="152" spans="1:13">
      <c r="A152" s="43" t="s">
        <v>306</v>
      </c>
      <c r="B152" s="43" t="s">
        <v>223</v>
      </c>
      <c r="C152" s="43" t="s">
        <v>19</v>
      </c>
      <c r="D152" s="43" t="s">
        <v>28</v>
      </c>
      <c r="E152" s="43" t="s">
        <v>53</v>
      </c>
      <c r="F152" s="47">
        <v>45859</v>
      </c>
      <c r="G152" s="43">
        <f t="shared" si="2"/>
        <v>2025</v>
      </c>
      <c r="H152" s="43">
        <v>1.1</v>
      </c>
      <c r="I152" s="48">
        <v>99000</v>
      </c>
      <c r="J152" s="44">
        <v>8.7</v>
      </c>
      <c r="K152" s="43" t="s">
        <v>92</v>
      </c>
      <c r="L152" s="43"/>
      <c r="M152" s="43"/>
    </row>
    <row r="153" spans="1:13">
      <c r="A153" s="43" t="s">
        <v>307</v>
      </c>
      <c r="B153" s="43" t="s">
        <v>308</v>
      </c>
      <c r="C153" s="43" t="s">
        <v>19</v>
      </c>
      <c r="D153" s="43" t="s">
        <v>24</v>
      </c>
      <c r="E153" s="43" t="s">
        <v>15</v>
      </c>
      <c r="F153" s="47">
        <v>44694</v>
      </c>
      <c r="G153" s="43">
        <f t="shared" si="2"/>
        <v>2022</v>
      </c>
      <c r="H153" s="43">
        <v>4.3</v>
      </c>
      <c r="I153" s="48">
        <v>101000</v>
      </c>
      <c r="J153" s="44">
        <v>6.2</v>
      </c>
      <c r="K153" s="43" t="s">
        <v>16</v>
      </c>
      <c r="L153" s="43"/>
      <c r="M153" s="43"/>
    </row>
    <row r="154" spans="1:13">
      <c r="A154" s="43" t="s">
        <v>309</v>
      </c>
      <c r="B154" s="43" t="s">
        <v>310</v>
      </c>
      <c r="C154" s="43" t="s">
        <v>13</v>
      </c>
      <c r="D154" s="43" t="s">
        <v>24</v>
      </c>
      <c r="E154" s="43" t="s">
        <v>15</v>
      </c>
      <c r="F154" s="47">
        <v>43146</v>
      </c>
      <c r="G154" s="43">
        <f t="shared" si="2"/>
        <v>2018</v>
      </c>
      <c r="H154" s="43">
        <v>8.5</v>
      </c>
      <c r="I154" s="48">
        <v>68000</v>
      </c>
      <c r="J154" s="44">
        <v>8.2</v>
      </c>
      <c r="K154" s="43" t="s">
        <v>92</v>
      </c>
      <c r="L154" s="43"/>
      <c r="M154" s="43"/>
    </row>
    <row r="155" spans="1:13">
      <c r="A155" s="43" t="s">
        <v>311</v>
      </c>
      <c r="B155" s="43" t="s">
        <v>39</v>
      </c>
      <c r="C155" s="43" t="s">
        <v>13</v>
      </c>
      <c r="D155" s="43" t="s">
        <v>42</v>
      </c>
      <c r="E155" s="43" t="s">
        <v>21</v>
      </c>
      <c r="F155" s="47">
        <v>42743</v>
      </c>
      <c r="G155" s="43">
        <f t="shared" si="2"/>
        <v>2017</v>
      </c>
      <c r="H155" s="43">
        <v>9.6</v>
      </c>
      <c r="I155" s="48">
        <v>55000</v>
      </c>
      <c r="J155" s="44">
        <v>5.5</v>
      </c>
      <c r="K155" s="43" t="s">
        <v>16</v>
      </c>
      <c r="L155" s="43"/>
      <c r="M155" s="43"/>
    </row>
    <row r="156" spans="1:13">
      <c r="A156" s="43" t="s">
        <v>312</v>
      </c>
      <c r="B156" s="43" t="s">
        <v>313</v>
      </c>
      <c r="C156" s="43" t="s">
        <v>19</v>
      </c>
      <c r="D156" s="43" t="s">
        <v>28</v>
      </c>
      <c r="E156" s="43" t="s">
        <v>15</v>
      </c>
      <c r="F156" s="47">
        <v>42591</v>
      </c>
      <c r="G156" s="43">
        <f t="shared" si="2"/>
        <v>2016</v>
      </c>
      <c r="H156" s="43">
        <v>10</v>
      </c>
      <c r="I156" s="48">
        <v>117000</v>
      </c>
      <c r="J156" s="44">
        <v>7.3</v>
      </c>
      <c r="K156" s="43" t="s">
        <v>16</v>
      </c>
      <c r="L156" s="43"/>
      <c r="M156" s="43"/>
    </row>
    <row r="157" spans="1:13">
      <c r="A157" s="43" t="s">
        <v>314</v>
      </c>
      <c r="B157" s="43" t="s">
        <v>72</v>
      </c>
      <c r="C157" s="43" t="s">
        <v>13</v>
      </c>
      <c r="D157" s="43" t="s">
        <v>24</v>
      </c>
      <c r="E157" s="43" t="s">
        <v>21</v>
      </c>
      <c r="F157" s="47">
        <v>43863</v>
      </c>
      <c r="G157" s="43">
        <f t="shared" si="2"/>
        <v>2020</v>
      </c>
      <c r="H157" s="43">
        <v>6.6</v>
      </c>
      <c r="I157" s="48">
        <v>83000</v>
      </c>
      <c r="J157" s="44">
        <v>7.2</v>
      </c>
      <c r="K157" s="43" t="s">
        <v>16</v>
      </c>
      <c r="L157" s="43"/>
      <c r="M157" s="43"/>
    </row>
    <row r="158" spans="1:13">
      <c r="A158" s="43" t="s">
        <v>315</v>
      </c>
      <c r="B158" s="43" t="s">
        <v>316</v>
      </c>
      <c r="C158" s="43" t="s">
        <v>19</v>
      </c>
      <c r="D158" s="43" t="s">
        <v>42</v>
      </c>
      <c r="E158" s="43" t="s">
        <v>56</v>
      </c>
      <c r="F158" s="47">
        <v>42352</v>
      </c>
      <c r="G158" s="43">
        <f t="shared" si="2"/>
        <v>2015</v>
      </c>
      <c r="H158" s="43">
        <v>10.7</v>
      </c>
      <c r="I158" s="48">
        <v>94000</v>
      </c>
      <c r="J158" s="44">
        <v>8.1</v>
      </c>
      <c r="K158" s="43" t="s">
        <v>16</v>
      </c>
      <c r="L158" s="43"/>
      <c r="M158" s="43"/>
    </row>
    <row r="159" spans="1:13">
      <c r="A159" s="43" t="s">
        <v>317</v>
      </c>
      <c r="B159" s="43" t="s">
        <v>318</v>
      </c>
      <c r="C159" s="43" t="s">
        <v>13</v>
      </c>
      <c r="D159" s="43" t="s">
        <v>68</v>
      </c>
      <c r="E159" s="43" t="s">
        <v>56</v>
      </c>
      <c r="F159" s="47">
        <v>43815</v>
      </c>
      <c r="G159" s="43">
        <f t="shared" si="2"/>
        <v>2019</v>
      </c>
      <c r="H159" s="43">
        <v>6.7</v>
      </c>
      <c r="I159" s="48">
        <v>91000</v>
      </c>
      <c r="J159" s="44">
        <v>7.7</v>
      </c>
      <c r="K159" s="43" t="s">
        <v>16</v>
      </c>
      <c r="L159" s="43"/>
      <c r="M159" s="43"/>
    </row>
    <row r="160" spans="1:13">
      <c r="A160" s="43" t="s">
        <v>319</v>
      </c>
      <c r="B160" s="43" t="s">
        <v>320</v>
      </c>
      <c r="C160" s="43" t="s">
        <v>13</v>
      </c>
      <c r="D160" s="43" t="s">
        <v>20</v>
      </c>
      <c r="E160" s="43" t="s">
        <v>25</v>
      </c>
      <c r="F160" s="47">
        <v>44434</v>
      </c>
      <c r="G160" s="43">
        <f t="shared" si="2"/>
        <v>2021</v>
      </c>
      <c r="H160" s="43">
        <v>5</v>
      </c>
      <c r="I160" s="48">
        <v>112000</v>
      </c>
      <c r="J160" s="44">
        <v>6.6</v>
      </c>
      <c r="K160" s="43" t="s">
        <v>16</v>
      </c>
      <c r="L160" s="43"/>
      <c r="M160" s="43"/>
    </row>
    <row r="161" spans="1:13">
      <c r="A161" s="43" t="s">
        <v>321</v>
      </c>
      <c r="B161" s="43" t="s">
        <v>322</v>
      </c>
      <c r="C161" s="43" t="s">
        <v>13</v>
      </c>
      <c r="D161" s="43" t="s">
        <v>59</v>
      </c>
      <c r="E161" s="43" t="s">
        <v>15</v>
      </c>
      <c r="F161" s="47">
        <v>42567</v>
      </c>
      <c r="G161" s="43">
        <f t="shared" si="2"/>
        <v>2016</v>
      </c>
      <c r="H161" s="43">
        <v>10.1</v>
      </c>
      <c r="I161" s="48">
        <v>88000</v>
      </c>
      <c r="J161" s="44">
        <v>7.3</v>
      </c>
      <c r="K161" s="43" t="s">
        <v>16</v>
      </c>
      <c r="L161" s="43"/>
      <c r="M161" s="43"/>
    </row>
    <row r="162" spans="1:13">
      <c r="A162" s="43" t="s">
        <v>323</v>
      </c>
      <c r="B162" s="43" t="s">
        <v>324</v>
      </c>
      <c r="C162" s="43" t="s">
        <v>19</v>
      </c>
      <c r="D162" s="43" t="s">
        <v>24</v>
      </c>
      <c r="E162" s="43" t="s">
        <v>56</v>
      </c>
      <c r="F162" s="47">
        <v>42534</v>
      </c>
      <c r="G162" s="43">
        <f t="shared" si="2"/>
        <v>2016</v>
      </c>
      <c r="H162" s="43">
        <v>10.2</v>
      </c>
      <c r="I162" s="48">
        <v>88000</v>
      </c>
      <c r="J162" s="44">
        <v>6.7</v>
      </c>
      <c r="K162" s="43" t="s">
        <v>16</v>
      </c>
      <c r="L162" s="43"/>
      <c r="M162" s="43"/>
    </row>
    <row r="163" spans="1:13">
      <c r="A163" s="43" t="s">
        <v>325</v>
      </c>
      <c r="B163" s="43" t="s">
        <v>305</v>
      </c>
      <c r="C163" s="43" t="s">
        <v>19</v>
      </c>
      <c r="D163" s="43" t="s">
        <v>42</v>
      </c>
      <c r="E163" s="43" t="s">
        <v>15</v>
      </c>
      <c r="F163" s="47">
        <v>42081</v>
      </c>
      <c r="G163" s="43">
        <f t="shared" si="2"/>
        <v>2015</v>
      </c>
      <c r="H163" s="43">
        <v>11.4</v>
      </c>
      <c r="I163" s="48">
        <v>67000</v>
      </c>
      <c r="J163" s="44">
        <v>7.3</v>
      </c>
      <c r="K163" s="43" t="s">
        <v>92</v>
      </c>
      <c r="L163" s="43"/>
      <c r="M163" s="43"/>
    </row>
    <row r="164" spans="1:13">
      <c r="A164" s="43" t="s">
        <v>326</v>
      </c>
      <c r="B164" s="43" t="s">
        <v>327</v>
      </c>
      <c r="C164" s="43" t="s">
        <v>19</v>
      </c>
      <c r="D164" s="43" t="s">
        <v>24</v>
      </c>
      <c r="E164" s="43" t="s">
        <v>25</v>
      </c>
      <c r="F164" s="47">
        <v>43715</v>
      </c>
      <c r="G164" s="43">
        <f t="shared" si="2"/>
        <v>2019</v>
      </c>
      <c r="H164" s="43">
        <v>7</v>
      </c>
      <c r="I164" s="48">
        <v>77000</v>
      </c>
      <c r="J164" s="44">
        <v>7.7</v>
      </c>
      <c r="K164" s="43" t="s">
        <v>16</v>
      </c>
      <c r="L164" s="43"/>
      <c r="M164" s="43"/>
    </row>
    <row r="165" spans="1:13">
      <c r="A165" s="43" t="s">
        <v>328</v>
      </c>
      <c r="B165" s="43" t="s">
        <v>329</v>
      </c>
      <c r="C165" s="43" t="s">
        <v>19</v>
      </c>
      <c r="D165" s="43" t="s">
        <v>31</v>
      </c>
      <c r="E165" s="43" t="s">
        <v>15</v>
      </c>
      <c r="F165" s="47">
        <v>45464</v>
      </c>
      <c r="G165" s="43">
        <f t="shared" si="2"/>
        <v>2024</v>
      </c>
      <c r="H165" s="43">
        <v>2.2</v>
      </c>
      <c r="I165" s="48">
        <v>38000</v>
      </c>
      <c r="J165" s="44">
        <v>7.6</v>
      </c>
      <c r="K165" s="43" t="s">
        <v>16</v>
      </c>
      <c r="L165" s="43"/>
      <c r="M165" s="43"/>
    </row>
    <row r="166" spans="1:13">
      <c r="A166" s="43" t="s">
        <v>330</v>
      </c>
      <c r="B166" s="43" t="s">
        <v>331</v>
      </c>
      <c r="C166" s="43" t="s">
        <v>19</v>
      </c>
      <c r="D166" s="43" t="s">
        <v>28</v>
      </c>
      <c r="E166" s="43" t="s">
        <v>21</v>
      </c>
      <c r="F166" s="47">
        <v>43395</v>
      </c>
      <c r="G166" s="43">
        <f t="shared" si="2"/>
        <v>2018</v>
      </c>
      <c r="H166" s="43">
        <v>7.8</v>
      </c>
      <c r="I166" s="48">
        <v>73000</v>
      </c>
      <c r="J166" s="44">
        <v>7.2</v>
      </c>
      <c r="K166" s="43" t="s">
        <v>16</v>
      </c>
      <c r="L166" s="43"/>
      <c r="M166" s="43"/>
    </row>
    <row r="167" spans="1:13">
      <c r="A167" s="43" t="s">
        <v>332</v>
      </c>
      <c r="B167" s="43" t="s">
        <v>333</v>
      </c>
      <c r="C167" s="43" t="s">
        <v>13</v>
      </c>
      <c r="D167" s="43" t="s">
        <v>20</v>
      </c>
      <c r="E167" s="43" t="s">
        <v>25</v>
      </c>
      <c r="F167" s="47">
        <v>43443</v>
      </c>
      <c r="G167" s="43">
        <f t="shared" si="2"/>
        <v>2018</v>
      </c>
      <c r="H167" s="43">
        <v>7.7</v>
      </c>
      <c r="I167" s="48">
        <v>132000</v>
      </c>
      <c r="J167" s="44">
        <v>8.1</v>
      </c>
      <c r="K167" s="43" t="s">
        <v>16</v>
      </c>
      <c r="L167" s="43"/>
      <c r="M167" s="43"/>
    </row>
    <row r="168" spans="1:13">
      <c r="A168" s="43" t="s">
        <v>334</v>
      </c>
      <c r="B168" s="43" t="s">
        <v>335</v>
      </c>
      <c r="C168" s="43" t="s">
        <v>13</v>
      </c>
      <c r="D168" s="43" t="s">
        <v>59</v>
      </c>
      <c r="E168" s="43" t="s">
        <v>15</v>
      </c>
      <c r="F168" s="47">
        <v>42631</v>
      </c>
      <c r="G168" s="43">
        <f t="shared" si="2"/>
        <v>2016</v>
      </c>
      <c r="H168" s="43">
        <v>9.9</v>
      </c>
      <c r="I168" s="48">
        <v>88000</v>
      </c>
      <c r="J168" s="44">
        <v>7.5</v>
      </c>
      <c r="K168" s="43" t="s">
        <v>92</v>
      </c>
      <c r="L168" s="43"/>
      <c r="M168" s="43"/>
    </row>
    <row r="169" spans="1:13">
      <c r="A169" s="43" t="s">
        <v>336</v>
      </c>
      <c r="B169" s="43" t="s">
        <v>337</v>
      </c>
      <c r="C169" s="43" t="s">
        <v>19</v>
      </c>
      <c r="D169" s="43" t="s">
        <v>24</v>
      </c>
      <c r="E169" s="43" t="s">
        <v>56</v>
      </c>
      <c r="F169" s="47">
        <v>44794</v>
      </c>
      <c r="G169" s="43">
        <f t="shared" si="2"/>
        <v>2022</v>
      </c>
      <c r="H169" s="43">
        <v>4</v>
      </c>
      <c r="I169" s="48">
        <v>81000</v>
      </c>
      <c r="J169" s="44">
        <v>7.1</v>
      </c>
      <c r="K169" s="43" t="s">
        <v>16</v>
      </c>
      <c r="L169" s="43"/>
      <c r="M169" s="43"/>
    </row>
    <row r="170" spans="1:13">
      <c r="A170" s="43" t="s">
        <v>338</v>
      </c>
      <c r="B170" s="43" t="s">
        <v>339</v>
      </c>
      <c r="C170" s="43" t="s">
        <v>19</v>
      </c>
      <c r="D170" s="43" t="s">
        <v>20</v>
      </c>
      <c r="E170" s="43" t="s">
        <v>56</v>
      </c>
      <c r="F170" s="47">
        <v>43245</v>
      </c>
      <c r="G170" s="43">
        <f t="shared" si="2"/>
        <v>2018</v>
      </c>
      <c r="H170" s="43">
        <v>8.3</v>
      </c>
      <c r="I170" s="48">
        <v>85000</v>
      </c>
      <c r="J170" s="44">
        <v>6.6</v>
      </c>
      <c r="K170" s="43" t="s">
        <v>16</v>
      </c>
      <c r="L170" s="43"/>
      <c r="M170" s="43"/>
    </row>
    <row r="171" spans="1:13">
      <c r="A171" s="43" t="s">
        <v>340</v>
      </c>
      <c r="B171" s="43" t="s">
        <v>341</v>
      </c>
      <c r="C171" s="43" t="s">
        <v>19</v>
      </c>
      <c r="D171" s="43" t="s">
        <v>20</v>
      </c>
      <c r="E171" s="43" t="s">
        <v>25</v>
      </c>
      <c r="F171" s="47">
        <v>42319</v>
      </c>
      <c r="G171" s="43">
        <f t="shared" si="2"/>
        <v>2015</v>
      </c>
      <c r="H171" s="43">
        <v>10.8</v>
      </c>
      <c r="I171" s="48">
        <v>132000</v>
      </c>
      <c r="J171" s="44">
        <v>6.9</v>
      </c>
      <c r="K171" s="43" t="s">
        <v>16</v>
      </c>
      <c r="L171" s="43"/>
      <c r="M171" s="43"/>
    </row>
    <row r="172" spans="1:13">
      <c r="A172" s="43" t="s">
        <v>342</v>
      </c>
      <c r="B172" s="43" t="s">
        <v>343</v>
      </c>
      <c r="C172" s="43" t="s">
        <v>13</v>
      </c>
      <c r="D172" s="43" t="s">
        <v>24</v>
      </c>
      <c r="E172" s="43" t="s">
        <v>56</v>
      </c>
      <c r="F172" s="47">
        <v>44275</v>
      </c>
      <c r="G172" s="43">
        <f t="shared" si="2"/>
        <v>2021</v>
      </c>
      <c r="H172" s="43">
        <v>5.4</v>
      </c>
      <c r="I172" s="48">
        <v>45000</v>
      </c>
      <c r="J172" s="44">
        <v>5.6</v>
      </c>
      <c r="K172" s="43" t="s">
        <v>16</v>
      </c>
      <c r="L172" s="43"/>
      <c r="M172" s="43"/>
    </row>
    <row r="173" spans="1:13">
      <c r="A173" s="43" t="s">
        <v>344</v>
      </c>
      <c r="B173" s="43" t="s">
        <v>345</v>
      </c>
      <c r="C173" s="43" t="s">
        <v>19</v>
      </c>
      <c r="D173" s="43" t="s">
        <v>24</v>
      </c>
      <c r="E173" s="43" t="s">
        <v>53</v>
      </c>
      <c r="F173" s="47">
        <v>43850</v>
      </c>
      <c r="G173" s="43">
        <f t="shared" si="2"/>
        <v>2020</v>
      </c>
      <c r="H173" s="43">
        <v>6.6</v>
      </c>
      <c r="I173" s="48">
        <v>53000</v>
      </c>
      <c r="J173" s="44">
        <v>8.1</v>
      </c>
      <c r="K173" s="43" t="s">
        <v>16</v>
      </c>
      <c r="L173" s="43"/>
      <c r="M173" s="43"/>
    </row>
    <row r="174" spans="1:13">
      <c r="A174" s="43" t="s">
        <v>346</v>
      </c>
      <c r="B174" s="43" t="s">
        <v>34</v>
      </c>
      <c r="C174" s="43" t="s">
        <v>19</v>
      </c>
      <c r="D174" s="43" t="s">
        <v>24</v>
      </c>
      <c r="E174" s="43" t="s">
        <v>15</v>
      </c>
      <c r="F174" s="47">
        <v>43019</v>
      </c>
      <c r="G174" s="43">
        <f t="shared" si="2"/>
        <v>2017</v>
      </c>
      <c r="H174" s="43">
        <v>8.9</v>
      </c>
      <c r="I174" s="48">
        <v>96000</v>
      </c>
      <c r="J174" s="44">
        <v>8.8</v>
      </c>
      <c r="K174" s="43" t="s">
        <v>16</v>
      </c>
      <c r="L174" s="43"/>
      <c r="M174" s="43"/>
    </row>
    <row r="175" spans="1:13">
      <c r="A175" s="43" t="s">
        <v>347</v>
      </c>
      <c r="B175" s="43" t="s">
        <v>122</v>
      </c>
      <c r="C175" s="43" t="s">
        <v>19</v>
      </c>
      <c r="D175" s="43" t="s">
        <v>28</v>
      </c>
      <c r="E175" s="43" t="s">
        <v>25</v>
      </c>
      <c r="F175" s="47">
        <v>44785</v>
      </c>
      <c r="G175" s="43">
        <f t="shared" si="2"/>
        <v>2022</v>
      </c>
      <c r="H175" s="43">
        <v>4</v>
      </c>
      <c r="I175" s="48">
        <v>51000</v>
      </c>
      <c r="J175" s="44">
        <v>7.4</v>
      </c>
      <c r="K175" s="43" t="s">
        <v>16</v>
      </c>
      <c r="L175" s="43"/>
      <c r="M175" s="43"/>
    </row>
    <row r="176" spans="1:13">
      <c r="A176" s="43" t="s">
        <v>348</v>
      </c>
      <c r="B176" s="43" t="s">
        <v>349</v>
      </c>
      <c r="C176" s="43" t="s">
        <v>19</v>
      </c>
      <c r="D176" s="43" t="s">
        <v>20</v>
      </c>
      <c r="E176" s="43" t="s">
        <v>25</v>
      </c>
      <c r="F176" s="47">
        <v>43168</v>
      </c>
      <c r="G176" s="43">
        <f t="shared" si="2"/>
        <v>2018</v>
      </c>
      <c r="H176" s="43">
        <v>8.5</v>
      </c>
      <c r="I176" s="48">
        <v>82000</v>
      </c>
      <c r="J176" s="44">
        <v>7.2</v>
      </c>
      <c r="K176" s="43" t="s">
        <v>92</v>
      </c>
      <c r="L176" s="43"/>
      <c r="M176" s="43"/>
    </row>
    <row r="177" spans="1:13">
      <c r="A177" s="43" t="s">
        <v>350</v>
      </c>
      <c r="B177" s="43" t="s">
        <v>351</v>
      </c>
      <c r="C177" s="43" t="s">
        <v>13</v>
      </c>
      <c r="D177" s="43" t="s">
        <v>24</v>
      </c>
      <c r="E177" s="43" t="s">
        <v>15</v>
      </c>
      <c r="F177" s="47">
        <v>43437</v>
      </c>
      <c r="G177" s="43">
        <f t="shared" si="2"/>
        <v>2018</v>
      </c>
      <c r="H177" s="43">
        <v>7.7</v>
      </c>
      <c r="I177" s="48">
        <v>79000</v>
      </c>
      <c r="J177" s="44">
        <v>5.9</v>
      </c>
      <c r="K177" s="43" t="s">
        <v>92</v>
      </c>
      <c r="L177" s="43"/>
      <c r="M177" s="43"/>
    </row>
    <row r="178" spans="1:13">
      <c r="A178" s="43" t="s">
        <v>352</v>
      </c>
      <c r="B178" s="43" t="s">
        <v>353</v>
      </c>
      <c r="C178" s="43" t="s">
        <v>19</v>
      </c>
      <c r="D178" s="43" t="s">
        <v>68</v>
      </c>
      <c r="E178" s="43" t="s">
        <v>15</v>
      </c>
      <c r="F178" s="47">
        <v>44294</v>
      </c>
      <c r="G178" s="43">
        <f t="shared" si="2"/>
        <v>2021</v>
      </c>
      <c r="H178" s="43">
        <v>5.4</v>
      </c>
      <c r="I178" s="48">
        <v>86000</v>
      </c>
      <c r="J178" s="44">
        <v>6.9</v>
      </c>
      <c r="K178" s="43" t="s">
        <v>16</v>
      </c>
      <c r="L178" s="43"/>
      <c r="M178" s="43"/>
    </row>
    <row r="179" spans="1:13">
      <c r="A179" s="43" t="s">
        <v>354</v>
      </c>
      <c r="B179" s="43" t="s">
        <v>355</v>
      </c>
      <c r="C179" s="43" t="s">
        <v>13</v>
      </c>
      <c r="D179" s="43" t="s">
        <v>28</v>
      </c>
      <c r="E179" s="43" t="s">
        <v>21</v>
      </c>
      <c r="F179" s="47">
        <v>43490</v>
      </c>
      <c r="G179" s="43">
        <f t="shared" si="2"/>
        <v>2019</v>
      </c>
      <c r="H179" s="43">
        <v>7.6</v>
      </c>
      <c r="I179" s="48">
        <v>84000</v>
      </c>
      <c r="J179" s="44">
        <v>6.7</v>
      </c>
      <c r="K179" s="43" t="s">
        <v>16</v>
      </c>
      <c r="L179" s="43"/>
      <c r="M179" s="43"/>
    </row>
    <row r="180" spans="1:13">
      <c r="A180" s="43" t="s">
        <v>356</v>
      </c>
      <c r="B180" s="43" t="s">
        <v>238</v>
      </c>
      <c r="C180" s="43" t="s">
        <v>13</v>
      </c>
      <c r="D180" s="43" t="s">
        <v>24</v>
      </c>
      <c r="E180" s="43" t="s">
        <v>21</v>
      </c>
      <c r="F180" s="47">
        <v>42568</v>
      </c>
      <c r="G180" s="43">
        <f t="shared" si="2"/>
        <v>2016</v>
      </c>
      <c r="H180" s="43">
        <v>10.1</v>
      </c>
      <c r="I180" s="48">
        <v>59000</v>
      </c>
      <c r="J180" s="44">
        <v>9.4</v>
      </c>
      <c r="K180" s="43" t="s">
        <v>16</v>
      </c>
      <c r="L180" s="43"/>
      <c r="M180" s="43"/>
    </row>
    <row r="181" spans="1:13">
      <c r="A181" s="43" t="s">
        <v>357</v>
      </c>
      <c r="B181" s="43" t="s">
        <v>41</v>
      </c>
      <c r="C181" s="43" t="s">
        <v>13</v>
      </c>
      <c r="D181" s="43" t="s">
        <v>42</v>
      </c>
      <c r="E181" s="43" t="s">
        <v>56</v>
      </c>
      <c r="F181" s="47">
        <v>44451</v>
      </c>
      <c r="G181" s="43">
        <f t="shared" si="2"/>
        <v>2021</v>
      </c>
      <c r="H181" s="43">
        <v>5</v>
      </c>
      <c r="I181" s="48">
        <v>62000</v>
      </c>
      <c r="J181" s="44">
        <v>8.5</v>
      </c>
      <c r="K181" s="43" t="s">
        <v>16</v>
      </c>
      <c r="L181" s="43"/>
      <c r="M181" s="43"/>
    </row>
    <row r="182" spans="1:13">
      <c r="A182" s="43" t="s">
        <v>358</v>
      </c>
      <c r="B182" s="43" t="s">
        <v>329</v>
      </c>
      <c r="C182" s="43" t="s">
        <v>13</v>
      </c>
      <c r="D182" s="43" t="s">
        <v>42</v>
      </c>
      <c r="E182" s="43" t="s">
        <v>25</v>
      </c>
      <c r="F182" s="47">
        <v>42683</v>
      </c>
      <c r="G182" s="43">
        <f t="shared" si="2"/>
        <v>2016</v>
      </c>
      <c r="H182" s="43">
        <v>9.8</v>
      </c>
      <c r="I182" s="48">
        <v>84000</v>
      </c>
      <c r="J182" s="44">
        <v>6.5</v>
      </c>
      <c r="K182" s="43" t="s">
        <v>16</v>
      </c>
      <c r="L182" s="43"/>
      <c r="M182" s="43"/>
    </row>
    <row r="183" spans="1:13">
      <c r="A183" s="43" t="s">
        <v>359</v>
      </c>
      <c r="B183" s="43" t="s">
        <v>360</v>
      </c>
      <c r="C183" s="43" t="s">
        <v>13</v>
      </c>
      <c r="D183" s="43" t="s">
        <v>59</v>
      </c>
      <c r="E183" s="43" t="s">
        <v>25</v>
      </c>
      <c r="F183" s="47">
        <v>43843</v>
      </c>
      <c r="G183" s="43">
        <f t="shared" si="2"/>
        <v>2020</v>
      </c>
      <c r="H183" s="43">
        <v>6.6</v>
      </c>
      <c r="I183" s="48">
        <v>54000</v>
      </c>
      <c r="J183" s="44">
        <v>7.9</v>
      </c>
      <c r="K183" s="43" t="s">
        <v>16</v>
      </c>
      <c r="L183" s="43"/>
      <c r="M183" s="43"/>
    </row>
    <row r="184" spans="1:13">
      <c r="A184" s="43" t="s">
        <v>361</v>
      </c>
      <c r="B184" s="43" t="s">
        <v>138</v>
      </c>
      <c r="C184" s="43" t="s">
        <v>19</v>
      </c>
      <c r="D184" s="43" t="s">
        <v>28</v>
      </c>
      <c r="E184" s="43" t="s">
        <v>25</v>
      </c>
      <c r="F184" s="47">
        <v>43511</v>
      </c>
      <c r="G184" s="43">
        <f t="shared" si="2"/>
        <v>2019</v>
      </c>
      <c r="H184" s="43">
        <v>7.5</v>
      </c>
      <c r="I184" s="48">
        <v>118000</v>
      </c>
      <c r="J184" s="44">
        <v>8.7</v>
      </c>
      <c r="K184" s="43" t="s">
        <v>16</v>
      </c>
      <c r="L184" s="43"/>
      <c r="M184" s="43"/>
    </row>
    <row r="185" spans="1:13">
      <c r="A185" s="43" t="s">
        <v>362</v>
      </c>
      <c r="B185" s="43" t="s">
        <v>333</v>
      </c>
      <c r="C185" s="43" t="s">
        <v>19</v>
      </c>
      <c r="D185" s="43" t="s">
        <v>28</v>
      </c>
      <c r="E185" s="43" t="s">
        <v>15</v>
      </c>
      <c r="F185" s="47">
        <v>42822</v>
      </c>
      <c r="G185" s="43">
        <f t="shared" si="2"/>
        <v>2017</v>
      </c>
      <c r="H185" s="43">
        <v>9.4</v>
      </c>
      <c r="I185" s="48">
        <v>62000</v>
      </c>
      <c r="J185" s="44">
        <v>7.4</v>
      </c>
      <c r="K185" s="43" t="s">
        <v>16</v>
      </c>
      <c r="L185" s="43"/>
      <c r="M185" s="43"/>
    </row>
    <row r="186" spans="1:13">
      <c r="A186" s="43" t="s">
        <v>363</v>
      </c>
      <c r="B186" s="43" t="s">
        <v>229</v>
      </c>
      <c r="C186" s="43" t="s">
        <v>13</v>
      </c>
      <c r="D186" s="43" t="s">
        <v>42</v>
      </c>
      <c r="E186" s="43" t="s">
        <v>56</v>
      </c>
      <c r="F186" s="47">
        <v>42425</v>
      </c>
      <c r="G186" s="43">
        <f t="shared" si="2"/>
        <v>2016</v>
      </c>
      <c r="H186" s="43">
        <v>10.5</v>
      </c>
      <c r="I186" s="48">
        <v>83000</v>
      </c>
      <c r="J186" s="44">
        <v>8.7</v>
      </c>
      <c r="K186" s="43" t="s">
        <v>16</v>
      </c>
      <c r="L186" s="43"/>
      <c r="M186" s="43"/>
    </row>
    <row r="187" spans="1:13">
      <c r="A187" s="43" t="s">
        <v>364</v>
      </c>
      <c r="B187" s="43" t="s">
        <v>318</v>
      </c>
      <c r="C187" s="43" t="s">
        <v>13</v>
      </c>
      <c r="D187" s="43" t="s">
        <v>31</v>
      </c>
      <c r="E187" s="43" t="s">
        <v>15</v>
      </c>
      <c r="F187" s="47">
        <v>43796</v>
      </c>
      <c r="G187" s="43">
        <f t="shared" si="2"/>
        <v>2019</v>
      </c>
      <c r="H187" s="43">
        <v>6.7</v>
      </c>
      <c r="I187" s="48">
        <v>37000</v>
      </c>
      <c r="J187" s="44">
        <v>5.7</v>
      </c>
      <c r="K187" s="43" t="s">
        <v>92</v>
      </c>
      <c r="L187" s="43"/>
      <c r="M187" s="43"/>
    </row>
    <row r="188" spans="1:13">
      <c r="A188" s="43" t="s">
        <v>365</v>
      </c>
      <c r="B188" s="43" t="s">
        <v>366</v>
      </c>
      <c r="C188" s="43" t="s">
        <v>13</v>
      </c>
      <c r="D188" s="43" t="s">
        <v>42</v>
      </c>
      <c r="E188" s="43" t="s">
        <v>53</v>
      </c>
      <c r="F188" s="47">
        <v>43704</v>
      </c>
      <c r="G188" s="43">
        <f t="shared" si="2"/>
        <v>2019</v>
      </c>
      <c r="H188" s="43">
        <v>7</v>
      </c>
      <c r="I188" s="48">
        <v>41000</v>
      </c>
      <c r="J188" s="44">
        <v>6.7</v>
      </c>
      <c r="K188" s="43" t="s">
        <v>16</v>
      </c>
      <c r="L188" s="43"/>
      <c r="M188" s="43"/>
    </row>
    <row r="189" spans="1:13">
      <c r="A189" s="43" t="s">
        <v>367</v>
      </c>
      <c r="B189" s="43" t="s">
        <v>368</v>
      </c>
      <c r="C189" s="43" t="s">
        <v>13</v>
      </c>
      <c r="D189" s="43" t="s">
        <v>20</v>
      </c>
      <c r="E189" s="43" t="s">
        <v>53</v>
      </c>
      <c r="F189" s="47">
        <v>45442</v>
      </c>
      <c r="G189" s="43">
        <f t="shared" si="2"/>
        <v>2024</v>
      </c>
      <c r="H189" s="43">
        <v>2.2</v>
      </c>
      <c r="I189" s="48">
        <v>133000</v>
      </c>
      <c r="J189" s="44">
        <v>8.1</v>
      </c>
      <c r="K189" s="43" t="s">
        <v>16</v>
      </c>
      <c r="L189" s="43"/>
      <c r="M189" s="43"/>
    </row>
    <row r="190" spans="1:13">
      <c r="A190" s="43" t="s">
        <v>369</v>
      </c>
      <c r="B190" s="43" t="s">
        <v>370</v>
      </c>
      <c r="C190" s="43" t="s">
        <v>13</v>
      </c>
      <c r="D190" s="43" t="s">
        <v>59</v>
      </c>
      <c r="E190" s="43" t="s">
        <v>25</v>
      </c>
      <c r="F190" s="47">
        <v>44856</v>
      </c>
      <c r="G190" s="43">
        <f t="shared" si="2"/>
        <v>2022</v>
      </c>
      <c r="H190" s="43">
        <v>3.8</v>
      </c>
      <c r="I190" s="48">
        <v>93000</v>
      </c>
      <c r="J190" s="44">
        <v>8.6</v>
      </c>
      <c r="K190" s="43" t="s">
        <v>16</v>
      </c>
      <c r="L190" s="43"/>
      <c r="M190" s="43"/>
    </row>
    <row r="191" spans="1:13">
      <c r="A191" s="43" t="s">
        <v>371</v>
      </c>
      <c r="B191" s="43" t="s">
        <v>100</v>
      </c>
      <c r="C191" s="43" t="s">
        <v>13</v>
      </c>
      <c r="D191" s="43" t="s">
        <v>20</v>
      </c>
      <c r="E191" s="43" t="s">
        <v>15</v>
      </c>
      <c r="F191" s="47">
        <v>42617</v>
      </c>
      <c r="G191" s="43">
        <f t="shared" si="2"/>
        <v>2016</v>
      </c>
      <c r="H191" s="43">
        <v>10</v>
      </c>
      <c r="I191" s="48">
        <v>120000</v>
      </c>
      <c r="J191" s="44">
        <v>8.8</v>
      </c>
      <c r="K191" s="43" t="s">
        <v>92</v>
      </c>
      <c r="L191" s="43"/>
      <c r="M191" s="43"/>
    </row>
    <row r="192" spans="1:13">
      <c r="A192" s="43" t="s">
        <v>372</v>
      </c>
      <c r="B192" s="43" t="s">
        <v>250</v>
      </c>
      <c r="C192" s="43" t="s">
        <v>19</v>
      </c>
      <c r="D192" s="43" t="s">
        <v>59</v>
      </c>
      <c r="E192" s="43" t="s">
        <v>21</v>
      </c>
      <c r="F192" s="47">
        <v>42200</v>
      </c>
      <c r="G192" s="43">
        <f t="shared" si="2"/>
        <v>2015</v>
      </c>
      <c r="H192" s="43">
        <v>11.1</v>
      </c>
      <c r="I192" s="48">
        <v>55000</v>
      </c>
      <c r="J192" s="44">
        <v>5.8</v>
      </c>
      <c r="K192" s="43" t="s">
        <v>16</v>
      </c>
      <c r="L192" s="43"/>
      <c r="M192" s="43"/>
    </row>
    <row r="193" spans="1:13">
      <c r="A193" s="43" t="s">
        <v>373</v>
      </c>
      <c r="B193" s="43" t="s">
        <v>366</v>
      </c>
      <c r="C193" s="43" t="s">
        <v>13</v>
      </c>
      <c r="D193" s="43" t="s">
        <v>24</v>
      </c>
      <c r="E193" s="43" t="s">
        <v>15</v>
      </c>
      <c r="F193" s="47">
        <v>44115</v>
      </c>
      <c r="G193" s="43">
        <f t="shared" si="2"/>
        <v>2020</v>
      </c>
      <c r="H193" s="43">
        <v>5.9</v>
      </c>
      <c r="I193" s="48">
        <v>70000</v>
      </c>
      <c r="J193" s="44">
        <v>8.4</v>
      </c>
      <c r="K193" s="43" t="s">
        <v>16</v>
      </c>
      <c r="L193" s="43"/>
      <c r="M193" s="43"/>
    </row>
    <row r="194" spans="1:13">
      <c r="A194" s="43" t="s">
        <v>374</v>
      </c>
      <c r="B194" s="43" t="s">
        <v>375</v>
      </c>
      <c r="C194" s="43" t="s">
        <v>19</v>
      </c>
      <c r="D194" s="43" t="s">
        <v>68</v>
      </c>
      <c r="E194" s="43" t="s">
        <v>21</v>
      </c>
      <c r="F194" s="47">
        <v>43711</v>
      </c>
      <c r="G194" s="43">
        <f t="shared" si="2"/>
        <v>2019</v>
      </c>
      <c r="H194" s="43">
        <v>7</v>
      </c>
      <c r="I194" s="48">
        <v>61000</v>
      </c>
      <c r="J194" s="44">
        <v>7.3</v>
      </c>
      <c r="K194" s="43" t="s">
        <v>92</v>
      </c>
      <c r="L194" s="43"/>
      <c r="M194" s="43"/>
    </row>
    <row r="195" spans="1:13">
      <c r="A195" s="43" t="s">
        <v>376</v>
      </c>
      <c r="B195" s="43" t="s">
        <v>333</v>
      </c>
      <c r="C195" s="43" t="s">
        <v>13</v>
      </c>
      <c r="D195" s="43" t="s">
        <v>24</v>
      </c>
      <c r="E195" s="43" t="s">
        <v>53</v>
      </c>
      <c r="F195" s="47">
        <v>44274</v>
      </c>
      <c r="G195" s="43">
        <f t="shared" ref="G195:G258" si="3">YEAR(F195)</f>
        <v>2021</v>
      </c>
      <c r="H195" s="43">
        <v>5.4</v>
      </c>
      <c r="I195" s="48">
        <v>42000</v>
      </c>
      <c r="J195" s="44">
        <v>7.1</v>
      </c>
      <c r="K195" s="43" t="s">
        <v>16</v>
      </c>
      <c r="L195" s="43"/>
      <c r="M195" s="43"/>
    </row>
    <row r="196" spans="1:13">
      <c r="A196" s="43" t="s">
        <v>377</v>
      </c>
      <c r="B196" s="43" t="s">
        <v>378</v>
      </c>
      <c r="C196" s="43" t="s">
        <v>19</v>
      </c>
      <c r="D196" s="43" t="s">
        <v>28</v>
      </c>
      <c r="E196" s="43" t="s">
        <v>21</v>
      </c>
      <c r="F196" s="47">
        <v>45066</v>
      </c>
      <c r="G196" s="43">
        <f t="shared" si="3"/>
        <v>2023</v>
      </c>
      <c r="H196" s="43">
        <v>3.3</v>
      </c>
      <c r="I196" s="48">
        <v>47000</v>
      </c>
      <c r="J196" s="44">
        <v>7.2</v>
      </c>
      <c r="K196" s="43" t="s">
        <v>16</v>
      </c>
      <c r="L196" s="43"/>
      <c r="M196" s="43"/>
    </row>
    <row r="197" spans="1:13">
      <c r="A197" s="43" t="s">
        <v>379</v>
      </c>
      <c r="B197" s="43" t="s">
        <v>380</v>
      </c>
      <c r="C197" s="43" t="s">
        <v>13</v>
      </c>
      <c r="D197" s="43" t="s">
        <v>68</v>
      </c>
      <c r="E197" s="43" t="s">
        <v>21</v>
      </c>
      <c r="F197" s="47">
        <v>42186</v>
      </c>
      <c r="G197" s="43">
        <f t="shared" si="3"/>
        <v>2015</v>
      </c>
      <c r="H197" s="43">
        <v>11.2</v>
      </c>
      <c r="I197" s="48">
        <v>83000</v>
      </c>
      <c r="J197" s="44">
        <v>7.8</v>
      </c>
      <c r="K197" s="43" t="s">
        <v>16</v>
      </c>
      <c r="L197" s="43"/>
      <c r="M197" s="43"/>
    </row>
    <row r="198" spans="1:13">
      <c r="A198" s="43" t="s">
        <v>381</v>
      </c>
      <c r="B198" s="43" t="s">
        <v>225</v>
      </c>
      <c r="C198" s="43" t="s">
        <v>13</v>
      </c>
      <c r="D198" s="43" t="s">
        <v>68</v>
      </c>
      <c r="E198" s="43" t="s">
        <v>53</v>
      </c>
      <c r="F198" s="47">
        <v>43965</v>
      </c>
      <c r="G198" s="43">
        <f t="shared" si="3"/>
        <v>2020</v>
      </c>
      <c r="H198" s="43">
        <v>6.3</v>
      </c>
      <c r="I198" s="48">
        <v>61000</v>
      </c>
      <c r="J198" s="44">
        <v>7.6</v>
      </c>
      <c r="K198" s="43" t="s">
        <v>16</v>
      </c>
      <c r="L198" s="43"/>
      <c r="M198" s="43"/>
    </row>
    <row r="199" spans="1:13">
      <c r="A199" s="43" t="s">
        <v>382</v>
      </c>
      <c r="B199" s="43" t="s">
        <v>383</v>
      </c>
      <c r="C199" s="43" t="s">
        <v>19</v>
      </c>
      <c r="D199" s="43" t="s">
        <v>20</v>
      </c>
      <c r="E199" s="43" t="s">
        <v>25</v>
      </c>
      <c r="F199" s="47">
        <v>45633</v>
      </c>
      <c r="G199" s="43">
        <f t="shared" si="3"/>
        <v>2024</v>
      </c>
      <c r="H199" s="43">
        <v>1.7</v>
      </c>
      <c r="I199" s="48">
        <v>55000</v>
      </c>
      <c r="J199" s="44">
        <v>7.1</v>
      </c>
      <c r="K199" s="43" t="s">
        <v>16</v>
      </c>
      <c r="L199" s="43"/>
      <c r="M199" s="43"/>
    </row>
    <row r="200" spans="1:13">
      <c r="A200" s="43" t="s">
        <v>384</v>
      </c>
      <c r="B200" s="43" t="s">
        <v>385</v>
      </c>
      <c r="C200" s="43" t="s">
        <v>19</v>
      </c>
      <c r="D200" s="43" t="s">
        <v>31</v>
      </c>
      <c r="E200" s="43" t="s">
        <v>56</v>
      </c>
      <c r="F200" s="47">
        <v>43042</v>
      </c>
      <c r="G200" s="43">
        <f t="shared" si="3"/>
        <v>2017</v>
      </c>
      <c r="H200" s="43">
        <v>8.8</v>
      </c>
      <c r="I200" s="48">
        <v>34000</v>
      </c>
      <c r="J200" s="44">
        <v>7.5</v>
      </c>
      <c r="K200" s="43" t="s">
        <v>16</v>
      </c>
      <c r="L200" s="43"/>
      <c r="M200" s="43"/>
    </row>
    <row r="201" spans="1:13">
      <c r="A201" s="43" t="s">
        <v>386</v>
      </c>
      <c r="B201" s="43" t="s">
        <v>58</v>
      </c>
      <c r="C201" s="43" t="s">
        <v>13</v>
      </c>
      <c r="D201" s="43" t="s">
        <v>59</v>
      </c>
      <c r="E201" s="43" t="s">
        <v>15</v>
      </c>
      <c r="F201" s="47">
        <v>43512</v>
      </c>
      <c r="G201" s="43">
        <f t="shared" si="3"/>
        <v>2019</v>
      </c>
      <c r="H201" s="43">
        <v>7.5</v>
      </c>
      <c r="I201" s="48">
        <v>67000</v>
      </c>
      <c r="J201" s="44">
        <v>6.8</v>
      </c>
      <c r="K201" s="43" t="s">
        <v>92</v>
      </c>
      <c r="L201" s="43"/>
      <c r="M201" s="43"/>
    </row>
    <row r="202" spans="1:13">
      <c r="A202" s="43" t="s">
        <v>387</v>
      </c>
      <c r="B202" s="43" t="s">
        <v>118</v>
      </c>
      <c r="C202" s="43" t="s">
        <v>19</v>
      </c>
      <c r="D202" s="43" t="s">
        <v>59</v>
      </c>
      <c r="E202" s="43" t="s">
        <v>15</v>
      </c>
      <c r="F202" s="47">
        <v>44839</v>
      </c>
      <c r="G202" s="43">
        <f t="shared" si="3"/>
        <v>2022</v>
      </c>
      <c r="H202" s="43">
        <v>3.9</v>
      </c>
      <c r="I202" s="48">
        <v>71000</v>
      </c>
      <c r="J202" s="44">
        <v>6.2</v>
      </c>
      <c r="K202" s="43" t="s">
        <v>16</v>
      </c>
      <c r="L202" s="43"/>
      <c r="M202" s="43"/>
    </row>
    <row r="203" spans="1:13">
      <c r="A203" s="43" t="s">
        <v>388</v>
      </c>
      <c r="B203" s="43" t="s">
        <v>389</v>
      </c>
      <c r="C203" s="43" t="s">
        <v>13</v>
      </c>
      <c r="D203" s="43" t="s">
        <v>20</v>
      </c>
      <c r="E203" s="43" t="s">
        <v>56</v>
      </c>
      <c r="F203" s="47">
        <v>45373</v>
      </c>
      <c r="G203" s="43">
        <f t="shared" si="3"/>
        <v>2024</v>
      </c>
      <c r="H203" s="43">
        <v>2.4</v>
      </c>
      <c r="I203" s="48">
        <v>73000</v>
      </c>
      <c r="J203" s="44">
        <v>9</v>
      </c>
      <c r="K203" s="43" t="s">
        <v>16</v>
      </c>
      <c r="L203" s="43"/>
      <c r="M203" s="43"/>
    </row>
    <row r="204" spans="1:13">
      <c r="A204" s="43" t="s">
        <v>390</v>
      </c>
      <c r="B204" s="43" t="s">
        <v>27</v>
      </c>
      <c r="C204" s="43" t="s">
        <v>19</v>
      </c>
      <c r="D204" s="43" t="s">
        <v>59</v>
      </c>
      <c r="E204" s="43" t="s">
        <v>21</v>
      </c>
      <c r="F204" s="47">
        <v>43831</v>
      </c>
      <c r="G204" s="43">
        <f t="shared" si="3"/>
        <v>2020</v>
      </c>
      <c r="H204" s="43">
        <v>6.6</v>
      </c>
      <c r="I204" s="48">
        <v>78000</v>
      </c>
      <c r="J204" s="44">
        <v>7.4</v>
      </c>
      <c r="K204" s="43" t="s">
        <v>16</v>
      </c>
      <c r="L204" s="43"/>
      <c r="M204" s="43"/>
    </row>
    <row r="205" spans="1:13">
      <c r="A205" s="43" t="s">
        <v>391</v>
      </c>
      <c r="B205" s="43" t="s">
        <v>392</v>
      </c>
      <c r="C205" s="43" t="s">
        <v>19</v>
      </c>
      <c r="D205" s="43" t="s">
        <v>42</v>
      </c>
      <c r="E205" s="43" t="s">
        <v>21</v>
      </c>
      <c r="F205" s="47">
        <v>43786</v>
      </c>
      <c r="G205" s="43">
        <f t="shared" si="3"/>
        <v>2019</v>
      </c>
      <c r="H205" s="43">
        <v>6.8</v>
      </c>
      <c r="I205" s="48">
        <v>55000</v>
      </c>
      <c r="J205" s="44">
        <v>6.8</v>
      </c>
      <c r="K205" s="43" t="s">
        <v>16</v>
      </c>
      <c r="L205" s="43"/>
      <c r="M205" s="43"/>
    </row>
    <row r="206" spans="1:13">
      <c r="A206" s="43" t="s">
        <v>393</v>
      </c>
      <c r="B206" s="43" t="s">
        <v>394</v>
      </c>
      <c r="C206" s="43" t="s">
        <v>13</v>
      </c>
      <c r="D206" s="43" t="s">
        <v>68</v>
      </c>
      <c r="E206" s="43" t="s">
        <v>21</v>
      </c>
      <c r="F206" s="47">
        <v>45286</v>
      </c>
      <c r="G206" s="43">
        <f t="shared" si="3"/>
        <v>2023</v>
      </c>
      <c r="H206" s="43">
        <v>2.7</v>
      </c>
      <c r="I206" s="48">
        <v>58000</v>
      </c>
      <c r="J206" s="44">
        <v>8.1</v>
      </c>
      <c r="K206" s="43" t="s">
        <v>16</v>
      </c>
      <c r="L206" s="43"/>
      <c r="M206" s="43"/>
    </row>
    <row r="207" spans="1:13">
      <c r="A207" s="43" t="s">
        <v>395</v>
      </c>
      <c r="B207" s="43" t="s">
        <v>215</v>
      </c>
      <c r="C207" s="43" t="s">
        <v>19</v>
      </c>
      <c r="D207" s="43" t="s">
        <v>20</v>
      </c>
      <c r="E207" s="43" t="s">
        <v>25</v>
      </c>
      <c r="F207" s="47">
        <v>43505</v>
      </c>
      <c r="G207" s="43">
        <f t="shared" si="3"/>
        <v>2019</v>
      </c>
      <c r="H207" s="43">
        <v>7.5</v>
      </c>
      <c r="I207" s="48">
        <v>96000</v>
      </c>
      <c r="J207" s="44">
        <v>7.3</v>
      </c>
      <c r="K207" s="43" t="s">
        <v>16</v>
      </c>
      <c r="L207" s="43"/>
      <c r="M207" s="43"/>
    </row>
    <row r="208" spans="1:13">
      <c r="A208" s="43" t="s">
        <v>396</v>
      </c>
      <c r="B208" s="43" t="s">
        <v>397</v>
      </c>
      <c r="C208" s="43" t="s">
        <v>13</v>
      </c>
      <c r="D208" s="43" t="s">
        <v>68</v>
      </c>
      <c r="E208" s="43" t="s">
        <v>53</v>
      </c>
      <c r="F208" s="47">
        <v>43528</v>
      </c>
      <c r="G208" s="43">
        <f t="shared" si="3"/>
        <v>2019</v>
      </c>
      <c r="H208" s="43">
        <v>7.5</v>
      </c>
      <c r="I208" s="48">
        <v>94000</v>
      </c>
      <c r="J208" s="44">
        <v>7.6</v>
      </c>
      <c r="K208" s="43" t="s">
        <v>16</v>
      </c>
      <c r="L208" s="43"/>
      <c r="M208" s="43"/>
    </row>
    <row r="209" spans="1:13">
      <c r="A209" s="43" t="s">
        <v>398</v>
      </c>
      <c r="B209" s="43" t="s">
        <v>161</v>
      </c>
      <c r="C209" s="43" t="s">
        <v>19</v>
      </c>
      <c r="D209" s="43" t="s">
        <v>59</v>
      </c>
      <c r="E209" s="43" t="s">
        <v>53</v>
      </c>
      <c r="F209" s="47">
        <v>42111</v>
      </c>
      <c r="G209" s="43">
        <f t="shared" si="3"/>
        <v>2015</v>
      </c>
      <c r="H209" s="43">
        <v>11.4</v>
      </c>
      <c r="I209" s="48">
        <v>87000</v>
      </c>
      <c r="J209" s="44">
        <v>6.1</v>
      </c>
      <c r="K209" s="43" t="s">
        <v>16</v>
      </c>
      <c r="L209" s="43"/>
      <c r="M209" s="43"/>
    </row>
    <row r="210" spans="1:13">
      <c r="A210" s="43" t="s">
        <v>399</v>
      </c>
      <c r="B210" s="43" t="s">
        <v>67</v>
      </c>
      <c r="C210" s="43" t="s">
        <v>19</v>
      </c>
      <c r="D210" s="43" t="s">
        <v>20</v>
      </c>
      <c r="E210" s="43" t="s">
        <v>25</v>
      </c>
      <c r="F210" s="47">
        <v>44888</v>
      </c>
      <c r="G210" s="43">
        <f t="shared" si="3"/>
        <v>2022</v>
      </c>
      <c r="H210" s="43">
        <v>3.8</v>
      </c>
      <c r="I210" s="48">
        <v>107000</v>
      </c>
      <c r="J210" s="44">
        <v>7.8</v>
      </c>
      <c r="K210" s="43" t="s">
        <v>16</v>
      </c>
      <c r="L210" s="43"/>
      <c r="M210" s="43"/>
    </row>
    <row r="211" spans="1:13">
      <c r="A211" s="43" t="s">
        <v>400</v>
      </c>
      <c r="B211" s="43" t="s">
        <v>401</v>
      </c>
      <c r="C211" s="43" t="s">
        <v>19</v>
      </c>
      <c r="D211" s="43" t="s">
        <v>20</v>
      </c>
      <c r="E211" s="43" t="s">
        <v>15</v>
      </c>
      <c r="F211" s="47">
        <v>42712</v>
      </c>
      <c r="G211" s="43">
        <f t="shared" si="3"/>
        <v>2016</v>
      </c>
      <c r="H211" s="43">
        <v>9.7</v>
      </c>
      <c r="I211" s="48">
        <v>106000</v>
      </c>
      <c r="J211" s="44">
        <v>9</v>
      </c>
      <c r="K211" s="43" t="s">
        <v>92</v>
      </c>
      <c r="L211" s="43"/>
      <c r="M211" s="43"/>
    </row>
    <row r="212" spans="1:13">
      <c r="A212" s="43" t="s">
        <v>402</v>
      </c>
      <c r="B212" s="43" t="s">
        <v>41</v>
      </c>
      <c r="C212" s="43" t="s">
        <v>19</v>
      </c>
      <c r="D212" s="43" t="s">
        <v>68</v>
      </c>
      <c r="E212" s="43" t="s">
        <v>56</v>
      </c>
      <c r="F212" s="47">
        <v>43194</v>
      </c>
      <c r="G212" s="43">
        <f t="shared" si="3"/>
        <v>2018</v>
      </c>
      <c r="H212" s="43">
        <v>8.4</v>
      </c>
      <c r="I212" s="48">
        <v>76000</v>
      </c>
      <c r="J212" s="44">
        <v>8.5</v>
      </c>
      <c r="K212" s="43" t="s">
        <v>92</v>
      </c>
      <c r="L212" s="43"/>
      <c r="M212" s="43"/>
    </row>
    <row r="213" spans="1:13">
      <c r="A213" s="43" t="s">
        <v>403</v>
      </c>
      <c r="B213" s="43" t="s">
        <v>404</v>
      </c>
      <c r="C213" s="43" t="s">
        <v>13</v>
      </c>
      <c r="D213" s="43" t="s">
        <v>24</v>
      </c>
      <c r="E213" s="43" t="s">
        <v>15</v>
      </c>
      <c r="F213" s="47">
        <v>42828</v>
      </c>
      <c r="G213" s="43">
        <f t="shared" si="3"/>
        <v>2017</v>
      </c>
      <c r="H213" s="43">
        <v>9.4</v>
      </c>
      <c r="I213" s="48">
        <v>57000</v>
      </c>
      <c r="J213" s="44">
        <v>6.1</v>
      </c>
      <c r="K213" s="43" t="s">
        <v>16</v>
      </c>
      <c r="L213" s="43"/>
      <c r="M213" s="43"/>
    </row>
    <row r="214" spans="1:13">
      <c r="A214" s="43" t="s">
        <v>405</v>
      </c>
      <c r="B214" s="43" t="s">
        <v>406</v>
      </c>
      <c r="C214" s="43" t="s">
        <v>19</v>
      </c>
      <c r="D214" s="43" t="s">
        <v>24</v>
      </c>
      <c r="E214" s="43" t="s">
        <v>21</v>
      </c>
      <c r="F214" s="47">
        <v>45296</v>
      </c>
      <c r="G214" s="43">
        <f t="shared" si="3"/>
        <v>2024</v>
      </c>
      <c r="H214" s="43">
        <v>2.6</v>
      </c>
      <c r="I214" s="48">
        <v>110000</v>
      </c>
      <c r="J214" s="44">
        <v>9.1</v>
      </c>
      <c r="K214" s="43" t="s">
        <v>16</v>
      </c>
      <c r="L214" s="43"/>
      <c r="M214" s="43"/>
    </row>
    <row r="215" spans="1:13">
      <c r="A215" s="43" t="s">
        <v>407</v>
      </c>
      <c r="B215" s="43" t="s">
        <v>408</v>
      </c>
      <c r="C215" s="43" t="s">
        <v>19</v>
      </c>
      <c r="D215" s="43" t="s">
        <v>24</v>
      </c>
      <c r="E215" s="43" t="s">
        <v>21</v>
      </c>
      <c r="F215" s="47">
        <v>43682</v>
      </c>
      <c r="G215" s="43">
        <f t="shared" si="3"/>
        <v>2019</v>
      </c>
      <c r="H215" s="43">
        <v>7.1</v>
      </c>
      <c r="I215" s="48">
        <v>49000</v>
      </c>
      <c r="J215" s="44">
        <v>9.2</v>
      </c>
      <c r="K215" s="43" t="s">
        <v>16</v>
      </c>
      <c r="L215" s="43"/>
      <c r="M215" s="43"/>
    </row>
    <row r="216" spans="1:13">
      <c r="A216" s="43" t="s">
        <v>409</v>
      </c>
      <c r="B216" s="43" t="s">
        <v>279</v>
      </c>
      <c r="C216" s="43" t="s">
        <v>19</v>
      </c>
      <c r="D216" s="43" t="s">
        <v>28</v>
      </c>
      <c r="E216" s="43" t="s">
        <v>25</v>
      </c>
      <c r="F216" s="47">
        <v>43416</v>
      </c>
      <c r="G216" s="43">
        <f t="shared" si="3"/>
        <v>2018</v>
      </c>
      <c r="H216" s="43">
        <v>7.8</v>
      </c>
      <c r="I216" s="48">
        <v>61000</v>
      </c>
      <c r="J216" s="44">
        <v>8.9</v>
      </c>
      <c r="K216" s="43" t="s">
        <v>16</v>
      </c>
      <c r="L216" s="43"/>
      <c r="M216" s="43"/>
    </row>
    <row r="217" spans="1:13">
      <c r="A217" s="43" t="s">
        <v>410</v>
      </c>
      <c r="B217" s="43" t="s">
        <v>288</v>
      </c>
      <c r="C217" s="43" t="s">
        <v>13</v>
      </c>
      <c r="D217" s="43" t="s">
        <v>28</v>
      </c>
      <c r="E217" s="43" t="s">
        <v>53</v>
      </c>
      <c r="F217" s="47">
        <v>42231</v>
      </c>
      <c r="G217" s="43">
        <f t="shared" si="3"/>
        <v>2015</v>
      </c>
      <c r="H217" s="43">
        <v>11</v>
      </c>
      <c r="I217" s="48">
        <v>60000</v>
      </c>
      <c r="J217" s="44">
        <v>6.2</v>
      </c>
      <c r="K217" s="43" t="s">
        <v>16</v>
      </c>
      <c r="L217" s="43"/>
      <c r="M217" s="43"/>
    </row>
    <row r="218" spans="1:13">
      <c r="A218" s="43" t="s">
        <v>411</v>
      </c>
      <c r="B218" s="43" t="s">
        <v>254</v>
      </c>
      <c r="C218" s="43" t="s">
        <v>19</v>
      </c>
      <c r="D218" s="43" t="s">
        <v>59</v>
      </c>
      <c r="E218" s="43" t="s">
        <v>25</v>
      </c>
      <c r="F218" s="47">
        <v>43422</v>
      </c>
      <c r="G218" s="43">
        <f t="shared" si="3"/>
        <v>2018</v>
      </c>
      <c r="H218" s="43">
        <v>7.8</v>
      </c>
      <c r="I218" s="48">
        <v>100000</v>
      </c>
      <c r="J218" s="44">
        <v>9.7</v>
      </c>
      <c r="K218" s="43" t="s">
        <v>16</v>
      </c>
      <c r="L218" s="43"/>
      <c r="M218" s="43"/>
    </row>
    <row r="219" spans="1:13">
      <c r="A219" s="43" t="s">
        <v>412</v>
      </c>
      <c r="B219" s="43" t="s">
        <v>413</v>
      </c>
      <c r="C219" s="43" t="s">
        <v>19</v>
      </c>
      <c r="D219" s="43" t="s">
        <v>31</v>
      </c>
      <c r="E219" s="43" t="s">
        <v>21</v>
      </c>
      <c r="F219" s="47">
        <v>44565</v>
      </c>
      <c r="G219" s="43">
        <f t="shared" si="3"/>
        <v>2022</v>
      </c>
      <c r="H219" s="43">
        <v>4.6</v>
      </c>
      <c r="I219" s="48">
        <v>51000</v>
      </c>
      <c r="J219" s="44">
        <v>6.7</v>
      </c>
      <c r="K219" s="43" t="s">
        <v>16</v>
      </c>
      <c r="L219" s="43"/>
      <c r="M219" s="43"/>
    </row>
    <row r="220" spans="1:13">
      <c r="A220" s="43" t="s">
        <v>414</v>
      </c>
      <c r="B220" s="43" t="s">
        <v>415</v>
      </c>
      <c r="C220" s="43" t="s">
        <v>13</v>
      </c>
      <c r="D220" s="43" t="s">
        <v>20</v>
      </c>
      <c r="E220" s="43" t="s">
        <v>53</v>
      </c>
      <c r="F220" s="47">
        <v>42636</v>
      </c>
      <c r="G220" s="43">
        <f t="shared" si="3"/>
        <v>2016</v>
      </c>
      <c r="H220" s="43">
        <v>9.9</v>
      </c>
      <c r="I220" s="48">
        <v>71000</v>
      </c>
      <c r="J220" s="44">
        <v>6.5</v>
      </c>
      <c r="K220" s="43" t="s">
        <v>16</v>
      </c>
      <c r="L220" s="43"/>
      <c r="M220" s="43"/>
    </row>
    <row r="221" spans="1:13">
      <c r="A221" s="43" t="s">
        <v>416</v>
      </c>
      <c r="B221" s="43" t="s">
        <v>417</v>
      </c>
      <c r="C221" s="43" t="s">
        <v>13</v>
      </c>
      <c r="D221" s="43" t="s">
        <v>20</v>
      </c>
      <c r="E221" s="43" t="s">
        <v>15</v>
      </c>
      <c r="F221" s="47">
        <v>44632</v>
      </c>
      <c r="G221" s="43">
        <f t="shared" si="3"/>
        <v>2022</v>
      </c>
      <c r="H221" s="43">
        <v>4.5</v>
      </c>
      <c r="I221" s="48">
        <v>123000</v>
      </c>
      <c r="J221" s="44">
        <v>6</v>
      </c>
      <c r="K221" s="43" t="s">
        <v>16</v>
      </c>
      <c r="L221" s="43"/>
      <c r="M221" s="43"/>
    </row>
    <row r="222" spans="1:13">
      <c r="A222" s="43" t="s">
        <v>418</v>
      </c>
      <c r="B222" s="43" t="s">
        <v>380</v>
      </c>
      <c r="C222" s="43" t="s">
        <v>13</v>
      </c>
      <c r="D222" s="43" t="s">
        <v>28</v>
      </c>
      <c r="E222" s="43" t="s">
        <v>56</v>
      </c>
      <c r="F222" s="47">
        <v>44044</v>
      </c>
      <c r="G222" s="43">
        <f t="shared" si="3"/>
        <v>2020</v>
      </c>
      <c r="H222" s="43">
        <v>6.1</v>
      </c>
      <c r="I222" s="48">
        <v>114000</v>
      </c>
      <c r="J222" s="44">
        <v>6.8</v>
      </c>
      <c r="K222" s="43" t="s">
        <v>16</v>
      </c>
      <c r="L222" s="43"/>
      <c r="M222" s="43"/>
    </row>
    <row r="223" spans="1:13">
      <c r="A223" s="43" t="s">
        <v>419</v>
      </c>
      <c r="B223" s="43" t="s">
        <v>420</v>
      </c>
      <c r="C223" s="43" t="s">
        <v>19</v>
      </c>
      <c r="D223" s="43" t="s">
        <v>20</v>
      </c>
      <c r="E223" s="43" t="s">
        <v>15</v>
      </c>
      <c r="F223" s="47">
        <v>43805</v>
      </c>
      <c r="G223" s="43">
        <f t="shared" si="3"/>
        <v>2019</v>
      </c>
      <c r="H223" s="43">
        <v>6.7</v>
      </c>
      <c r="I223" s="48">
        <v>103000</v>
      </c>
      <c r="J223" s="44">
        <v>10</v>
      </c>
      <c r="K223" s="43" t="s">
        <v>16</v>
      </c>
      <c r="L223" s="43"/>
      <c r="M223" s="43"/>
    </row>
    <row r="224" spans="1:13">
      <c r="A224" s="43" t="s">
        <v>421</v>
      </c>
      <c r="B224" s="43" t="s">
        <v>422</v>
      </c>
      <c r="C224" s="43" t="s">
        <v>13</v>
      </c>
      <c r="D224" s="43" t="s">
        <v>20</v>
      </c>
      <c r="E224" s="43" t="s">
        <v>53</v>
      </c>
      <c r="F224" s="47">
        <v>43312</v>
      </c>
      <c r="G224" s="43">
        <f t="shared" si="3"/>
        <v>2018</v>
      </c>
      <c r="H224" s="43">
        <v>8.1</v>
      </c>
      <c r="I224" s="48">
        <v>94000</v>
      </c>
      <c r="J224" s="44">
        <v>8.1</v>
      </c>
      <c r="K224" s="43" t="s">
        <v>16</v>
      </c>
      <c r="L224" s="43"/>
      <c r="M224" s="43"/>
    </row>
    <row r="225" spans="1:13">
      <c r="A225" s="43" t="s">
        <v>423</v>
      </c>
      <c r="B225" s="43" t="s">
        <v>165</v>
      </c>
      <c r="C225" s="43" t="s">
        <v>13</v>
      </c>
      <c r="D225" s="43" t="s">
        <v>28</v>
      </c>
      <c r="E225" s="43" t="s">
        <v>21</v>
      </c>
      <c r="F225" s="47">
        <v>43020</v>
      </c>
      <c r="G225" s="43">
        <f t="shared" si="3"/>
        <v>2017</v>
      </c>
      <c r="H225" s="43">
        <v>8.9</v>
      </c>
      <c r="I225" s="48">
        <v>63000</v>
      </c>
      <c r="J225" s="44">
        <v>7.4</v>
      </c>
      <c r="K225" s="43" t="s">
        <v>16</v>
      </c>
      <c r="L225" s="43"/>
      <c r="M225" s="43"/>
    </row>
    <row r="226" spans="1:13">
      <c r="A226" s="43" t="s">
        <v>424</v>
      </c>
      <c r="B226" s="43" t="s">
        <v>425</v>
      </c>
      <c r="C226" s="43" t="s">
        <v>19</v>
      </c>
      <c r="D226" s="43" t="s">
        <v>68</v>
      </c>
      <c r="E226" s="43" t="s">
        <v>21</v>
      </c>
      <c r="F226" s="47">
        <v>45549</v>
      </c>
      <c r="G226" s="43">
        <f t="shared" si="3"/>
        <v>2024</v>
      </c>
      <c r="H226" s="43">
        <v>1.9</v>
      </c>
      <c r="I226" s="48">
        <v>58000</v>
      </c>
      <c r="J226" s="44">
        <v>8.5</v>
      </c>
      <c r="K226" s="43" t="s">
        <v>16</v>
      </c>
      <c r="L226" s="43"/>
      <c r="M226" s="43"/>
    </row>
    <row r="227" spans="1:13">
      <c r="A227" s="43" t="s">
        <v>426</v>
      </c>
      <c r="B227" s="43" t="s">
        <v>288</v>
      </c>
      <c r="C227" s="43" t="s">
        <v>13</v>
      </c>
      <c r="D227" s="43" t="s">
        <v>24</v>
      </c>
      <c r="E227" s="43" t="s">
        <v>56</v>
      </c>
      <c r="F227" s="47">
        <v>44047</v>
      </c>
      <c r="G227" s="43">
        <f t="shared" si="3"/>
        <v>2020</v>
      </c>
      <c r="H227" s="43">
        <v>6.1</v>
      </c>
      <c r="I227" s="48">
        <v>79000</v>
      </c>
      <c r="J227" s="44">
        <v>5.1</v>
      </c>
      <c r="K227" s="43" t="s">
        <v>16</v>
      </c>
      <c r="L227" s="43"/>
      <c r="M227" s="43"/>
    </row>
    <row r="228" spans="1:13">
      <c r="A228" s="43" t="s">
        <v>427</v>
      </c>
      <c r="B228" s="43" t="s">
        <v>428</v>
      </c>
      <c r="C228" s="43" t="s">
        <v>13</v>
      </c>
      <c r="D228" s="43" t="s">
        <v>28</v>
      </c>
      <c r="E228" s="43" t="s">
        <v>21</v>
      </c>
      <c r="F228" s="47">
        <v>44394</v>
      </c>
      <c r="G228" s="43">
        <f t="shared" si="3"/>
        <v>2021</v>
      </c>
      <c r="H228" s="43">
        <v>5.1</v>
      </c>
      <c r="I228" s="48">
        <v>90000</v>
      </c>
      <c r="J228" s="44">
        <v>8.4</v>
      </c>
      <c r="K228" s="43" t="s">
        <v>16</v>
      </c>
      <c r="L228" s="43"/>
      <c r="M228" s="43"/>
    </row>
    <row r="229" spans="1:13">
      <c r="A229" s="43" t="s">
        <v>429</v>
      </c>
      <c r="B229" s="43" t="s">
        <v>430</v>
      </c>
      <c r="C229" s="43" t="s">
        <v>19</v>
      </c>
      <c r="D229" s="43" t="s">
        <v>20</v>
      </c>
      <c r="E229" s="43" t="s">
        <v>15</v>
      </c>
      <c r="F229" s="47">
        <v>42553</v>
      </c>
      <c r="G229" s="43">
        <f t="shared" si="3"/>
        <v>2016</v>
      </c>
      <c r="H229" s="43">
        <v>10.1</v>
      </c>
      <c r="I229" s="48">
        <v>83000</v>
      </c>
      <c r="J229" s="44">
        <v>7.8</v>
      </c>
      <c r="K229" s="43" t="s">
        <v>16</v>
      </c>
      <c r="L229" s="43"/>
      <c r="M229" s="43"/>
    </row>
    <row r="230" spans="1:13">
      <c r="A230" s="43" t="s">
        <v>431</v>
      </c>
      <c r="B230" s="43" t="s">
        <v>432</v>
      </c>
      <c r="C230" s="43" t="s">
        <v>19</v>
      </c>
      <c r="D230" s="43" t="s">
        <v>28</v>
      </c>
      <c r="E230" s="43" t="s">
        <v>56</v>
      </c>
      <c r="F230" s="47">
        <v>42802</v>
      </c>
      <c r="G230" s="43">
        <f t="shared" si="3"/>
        <v>2017</v>
      </c>
      <c r="H230" s="43">
        <v>9.5</v>
      </c>
      <c r="I230" s="48">
        <v>91000</v>
      </c>
      <c r="J230" s="44">
        <v>7.1</v>
      </c>
      <c r="K230" s="43" t="s">
        <v>16</v>
      </c>
      <c r="L230" s="43"/>
      <c r="M230" s="43"/>
    </row>
    <row r="231" spans="1:13">
      <c r="A231" s="43" t="s">
        <v>433</v>
      </c>
      <c r="B231" s="43" t="s">
        <v>434</v>
      </c>
      <c r="C231" s="43" t="s">
        <v>19</v>
      </c>
      <c r="D231" s="43" t="s">
        <v>68</v>
      </c>
      <c r="E231" s="43" t="s">
        <v>15</v>
      </c>
      <c r="F231" s="47">
        <v>45998</v>
      </c>
      <c r="G231" s="43">
        <f t="shared" si="3"/>
        <v>2025</v>
      </c>
      <c r="H231" s="43">
        <v>0.7</v>
      </c>
      <c r="I231" s="48">
        <v>50000</v>
      </c>
      <c r="J231" s="44">
        <v>7.4</v>
      </c>
      <c r="K231" s="43" t="s">
        <v>16</v>
      </c>
      <c r="L231" s="43"/>
      <c r="M231" s="43"/>
    </row>
    <row r="232" spans="1:13">
      <c r="A232" s="43" t="s">
        <v>435</v>
      </c>
      <c r="B232" s="43" t="s">
        <v>436</v>
      </c>
      <c r="C232" s="43" t="s">
        <v>19</v>
      </c>
      <c r="D232" s="43" t="s">
        <v>68</v>
      </c>
      <c r="E232" s="43" t="s">
        <v>15</v>
      </c>
      <c r="F232" s="47">
        <v>44090</v>
      </c>
      <c r="G232" s="43">
        <f t="shared" si="3"/>
        <v>2020</v>
      </c>
      <c r="H232" s="43">
        <v>5.9</v>
      </c>
      <c r="I232" s="48">
        <v>89000</v>
      </c>
      <c r="J232" s="44">
        <v>7.2</v>
      </c>
      <c r="K232" s="43" t="s">
        <v>16</v>
      </c>
      <c r="L232" s="43"/>
      <c r="M232" s="43"/>
    </row>
    <row r="233" spans="1:13">
      <c r="A233" s="43" t="s">
        <v>437</v>
      </c>
      <c r="B233" s="43" t="s">
        <v>76</v>
      </c>
      <c r="C233" s="43" t="s">
        <v>19</v>
      </c>
      <c r="D233" s="43" t="s">
        <v>24</v>
      </c>
      <c r="E233" s="43" t="s">
        <v>15</v>
      </c>
      <c r="F233" s="47">
        <v>45663</v>
      </c>
      <c r="G233" s="43">
        <f t="shared" si="3"/>
        <v>2025</v>
      </c>
      <c r="H233" s="43">
        <v>1.6</v>
      </c>
      <c r="I233" s="48">
        <v>105000</v>
      </c>
      <c r="J233" s="44">
        <v>7.5</v>
      </c>
      <c r="K233" s="43" t="s">
        <v>16</v>
      </c>
      <c r="L233" s="43"/>
      <c r="M233" s="43"/>
    </row>
    <row r="234" spans="1:13">
      <c r="A234" s="43" t="s">
        <v>438</v>
      </c>
      <c r="B234" s="43" t="s">
        <v>439</v>
      </c>
      <c r="C234" s="43" t="s">
        <v>19</v>
      </c>
      <c r="D234" s="43" t="s">
        <v>31</v>
      </c>
      <c r="E234" s="43" t="s">
        <v>25</v>
      </c>
      <c r="F234" s="47">
        <v>43230</v>
      </c>
      <c r="G234" s="43">
        <f t="shared" si="3"/>
        <v>2018</v>
      </c>
      <c r="H234" s="43">
        <v>8.3</v>
      </c>
      <c r="I234" s="48">
        <v>69000</v>
      </c>
      <c r="J234" s="44">
        <v>6.4</v>
      </c>
      <c r="K234" s="43" t="s">
        <v>16</v>
      </c>
      <c r="L234" s="43"/>
      <c r="M234" s="43"/>
    </row>
    <row r="235" spans="1:13">
      <c r="A235" s="43" t="s">
        <v>440</v>
      </c>
      <c r="B235" s="43" t="s">
        <v>441</v>
      </c>
      <c r="C235" s="43" t="s">
        <v>19</v>
      </c>
      <c r="D235" s="43" t="s">
        <v>20</v>
      </c>
      <c r="E235" s="43" t="s">
        <v>21</v>
      </c>
      <c r="F235" s="47">
        <v>42453</v>
      </c>
      <c r="G235" s="43">
        <f t="shared" si="3"/>
        <v>2016</v>
      </c>
      <c r="H235" s="43">
        <v>10.4</v>
      </c>
      <c r="I235" s="48">
        <v>103000</v>
      </c>
      <c r="J235" s="44">
        <v>9.3</v>
      </c>
      <c r="K235" s="43" t="s">
        <v>16</v>
      </c>
      <c r="L235" s="43"/>
      <c r="M235" s="43"/>
    </row>
    <row r="236" spans="1:13">
      <c r="A236" s="43" t="s">
        <v>442</v>
      </c>
      <c r="B236" s="43" t="s">
        <v>345</v>
      </c>
      <c r="C236" s="43" t="s">
        <v>13</v>
      </c>
      <c r="D236" s="43" t="s">
        <v>59</v>
      </c>
      <c r="E236" s="43" t="s">
        <v>56</v>
      </c>
      <c r="F236" s="47">
        <v>45986</v>
      </c>
      <c r="G236" s="43">
        <f t="shared" si="3"/>
        <v>2025</v>
      </c>
      <c r="H236" s="43">
        <v>0.7</v>
      </c>
      <c r="I236" s="48">
        <v>89000</v>
      </c>
      <c r="J236" s="44">
        <v>6.8</v>
      </c>
      <c r="K236" s="43" t="s">
        <v>16</v>
      </c>
      <c r="L236" s="43"/>
      <c r="M236" s="43"/>
    </row>
    <row r="237" spans="1:13">
      <c r="A237" s="43" t="s">
        <v>443</v>
      </c>
      <c r="B237" s="43" t="s">
        <v>444</v>
      </c>
      <c r="C237" s="43" t="s">
        <v>19</v>
      </c>
      <c r="D237" s="43" t="s">
        <v>68</v>
      </c>
      <c r="E237" s="43" t="s">
        <v>56</v>
      </c>
      <c r="F237" s="47">
        <v>45450</v>
      </c>
      <c r="G237" s="43">
        <f t="shared" si="3"/>
        <v>2024</v>
      </c>
      <c r="H237" s="43">
        <v>2.2</v>
      </c>
      <c r="I237" s="48">
        <v>86000</v>
      </c>
      <c r="J237" s="44">
        <v>7.1</v>
      </c>
      <c r="K237" s="43" t="s">
        <v>16</v>
      </c>
      <c r="L237" s="43"/>
      <c r="M237" s="43"/>
    </row>
    <row r="238" spans="1:13">
      <c r="A238" s="43" t="s">
        <v>445</v>
      </c>
      <c r="B238" s="43" t="s">
        <v>446</v>
      </c>
      <c r="C238" s="43" t="s">
        <v>13</v>
      </c>
      <c r="D238" s="43" t="s">
        <v>31</v>
      </c>
      <c r="E238" s="43" t="s">
        <v>15</v>
      </c>
      <c r="F238" s="47">
        <v>42082</v>
      </c>
      <c r="G238" s="43">
        <f t="shared" si="3"/>
        <v>2015</v>
      </c>
      <c r="H238" s="43">
        <v>11.4</v>
      </c>
      <c r="I238" s="48">
        <v>60000</v>
      </c>
      <c r="J238" s="44">
        <v>7.3</v>
      </c>
      <c r="K238" s="43" t="s">
        <v>16</v>
      </c>
      <c r="L238" s="43"/>
      <c r="M238" s="43"/>
    </row>
    <row r="239" spans="1:13">
      <c r="A239" s="43" t="s">
        <v>447</v>
      </c>
      <c r="B239" s="43" t="s">
        <v>448</v>
      </c>
      <c r="C239" s="43" t="s">
        <v>19</v>
      </c>
      <c r="D239" s="43" t="s">
        <v>68</v>
      </c>
      <c r="E239" s="43" t="s">
        <v>56</v>
      </c>
      <c r="F239" s="47">
        <v>45479</v>
      </c>
      <c r="G239" s="43">
        <f t="shared" si="3"/>
        <v>2024</v>
      </c>
      <c r="H239" s="43">
        <v>2.1</v>
      </c>
      <c r="I239" s="48">
        <v>45000</v>
      </c>
      <c r="J239" s="44">
        <v>8.1</v>
      </c>
      <c r="K239" s="43" t="s">
        <v>16</v>
      </c>
      <c r="L239" s="43"/>
      <c r="M239" s="43"/>
    </row>
    <row r="240" spans="1:13">
      <c r="A240" s="43" t="s">
        <v>449</v>
      </c>
      <c r="B240" s="43" t="s">
        <v>436</v>
      </c>
      <c r="C240" s="43" t="s">
        <v>13</v>
      </c>
      <c r="D240" s="43" t="s">
        <v>31</v>
      </c>
      <c r="E240" s="43" t="s">
        <v>56</v>
      </c>
      <c r="F240" s="47">
        <v>43548</v>
      </c>
      <c r="G240" s="43">
        <f t="shared" si="3"/>
        <v>2019</v>
      </c>
      <c r="H240" s="43">
        <v>7.4</v>
      </c>
      <c r="I240" s="48">
        <v>52000</v>
      </c>
      <c r="J240" s="44">
        <v>8.7</v>
      </c>
      <c r="K240" s="43" t="s">
        <v>16</v>
      </c>
      <c r="L240" s="43"/>
      <c r="M240" s="43"/>
    </row>
    <row r="241" spans="1:13">
      <c r="A241" s="43" t="s">
        <v>450</v>
      </c>
      <c r="B241" s="43" t="s">
        <v>451</v>
      </c>
      <c r="C241" s="43" t="s">
        <v>19</v>
      </c>
      <c r="D241" s="43" t="s">
        <v>42</v>
      </c>
      <c r="E241" s="43" t="s">
        <v>25</v>
      </c>
      <c r="F241" s="47">
        <v>45296</v>
      </c>
      <c r="G241" s="43">
        <f t="shared" si="3"/>
        <v>2024</v>
      </c>
      <c r="H241" s="43">
        <v>2.6</v>
      </c>
      <c r="I241" s="48">
        <v>82000</v>
      </c>
      <c r="J241" s="44">
        <v>7.2</v>
      </c>
      <c r="K241" s="43" t="s">
        <v>16</v>
      </c>
      <c r="L241" s="43"/>
      <c r="M241" s="43"/>
    </row>
    <row r="242" spans="1:13">
      <c r="A242" s="43" t="s">
        <v>452</v>
      </c>
      <c r="B242" s="43" t="s">
        <v>195</v>
      </c>
      <c r="C242" s="43" t="s">
        <v>19</v>
      </c>
      <c r="D242" s="43" t="s">
        <v>59</v>
      </c>
      <c r="E242" s="43" t="s">
        <v>21</v>
      </c>
      <c r="F242" s="47">
        <v>45861</v>
      </c>
      <c r="G242" s="43">
        <f t="shared" si="3"/>
        <v>2025</v>
      </c>
      <c r="H242" s="43">
        <v>1.1</v>
      </c>
      <c r="I242" s="48">
        <v>59000</v>
      </c>
      <c r="J242" s="44">
        <v>7.7</v>
      </c>
      <c r="K242" s="43" t="s">
        <v>16</v>
      </c>
      <c r="L242" s="43"/>
      <c r="M242" s="43"/>
    </row>
    <row r="243" spans="1:13">
      <c r="A243" s="43" t="s">
        <v>453</v>
      </c>
      <c r="B243" s="43" t="s">
        <v>454</v>
      </c>
      <c r="C243" s="43" t="s">
        <v>19</v>
      </c>
      <c r="D243" s="43" t="s">
        <v>28</v>
      </c>
      <c r="E243" s="43" t="s">
        <v>53</v>
      </c>
      <c r="F243" s="47">
        <v>45262</v>
      </c>
      <c r="G243" s="43">
        <f t="shared" si="3"/>
        <v>2023</v>
      </c>
      <c r="H243" s="43">
        <v>2.7</v>
      </c>
      <c r="I243" s="48">
        <v>80000</v>
      </c>
      <c r="J243" s="44">
        <v>5.8</v>
      </c>
      <c r="K243" s="43" t="s">
        <v>16</v>
      </c>
      <c r="L243" s="43"/>
      <c r="M243" s="43"/>
    </row>
    <row r="244" spans="1:13">
      <c r="A244" s="43" t="s">
        <v>455</v>
      </c>
      <c r="B244" s="43" t="s">
        <v>118</v>
      </c>
      <c r="C244" s="43" t="s">
        <v>19</v>
      </c>
      <c r="D244" s="43" t="s">
        <v>42</v>
      </c>
      <c r="E244" s="43" t="s">
        <v>53</v>
      </c>
      <c r="F244" s="47">
        <v>45300</v>
      </c>
      <c r="G244" s="43">
        <f t="shared" si="3"/>
        <v>2024</v>
      </c>
      <c r="H244" s="43">
        <v>2.6</v>
      </c>
      <c r="I244" s="48">
        <v>47000</v>
      </c>
      <c r="J244" s="44">
        <v>7.3</v>
      </c>
      <c r="K244" s="43" t="s">
        <v>16</v>
      </c>
      <c r="L244" s="43"/>
      <c r="M244" s="43"/>
    </row>
    <row r="245" spans="1:13">
      <c r="A245" s="43" t="s">
        <v>456</v>
      </c>
      <c r="B245" s="43" t="s">
        <v>207</v>
      </c>
      <c r="C245" s="43" t="s">
        <v>19</v>
      </c>
      <c r="D245" s="43" t="s">
        <v>68</v>
      </c>
      <c r="E245" s="43" t="s">
        <v>25</v>
      </c>
      <c r="F245" s="47">
        <v>42881</v>
      </c>
      <c r="G245" s="43">
        <f t="shared" si="3"/>
        <v>2017</v>
      </c>
      <c r="H245" s="43">
        <v>9.2</v>
      </c>
      <c r="I245" s="48">
        <v>63000</v>
      </c>
      <c r="J245" s="44">
        <v>8.4</v>
      </c>
      <c r="K245" s="43" t="s">
        <v>16</v>
      </c>
      <c r="L245" s="43"/>
      <c r="M245" s="43"/>
    </row>
    <row r="246" spans="1:13">
      <c r="A246" s="43" t="s">
        <v>457</v>
      </c>
      <c r="B246" s="43" t="s">
        <v>67</v>
      </c>
      <c r="C246" s="43" t="s">
        <v>19</v>
      </c>
      <c r="D246" s="43" t="s">
        <v>68</v>
      </c>
      <c r="E246" s="43" t="s">
        <v>15</v>
      </c>
      <c r="F246" s="47">
        <v>44526</v>
      </c>
      <c r="G246" s="43">
        <f t="shared" si="3"/>
        <v>2021</v>
      </c>
      <c r="H246" s="43">
        <v>4.7</v>
      </c>
      <c r="I246" s="48">
        <v>113000</v>
      </c>
      <c r="J246" s="44">
        <v>7.5</v>
      </c>
      <c r="K246" s="43" t="s">
        <v>92</v>
      </c>
      <c r="L246" s="43"/>
      <c r="M246" s="43"/>
    </row>
    <row r="247" spans="1:13">
      <c r="A247" s="43" t="s">
        <v>458</v>
      </c>
      <c r="B247" s="43" t="s">
        <v>263</v>
      </c>
      <c r="C247" s="43" t="s">
        <v>13</v>
      </c>
      <c r="D247" s="43" t="s">
        <v>20</v>
      </c>
      <c r="E247" s="43" t="s">
        <v>21</v>
      </c>
      <c r="F247" s="47">
        <v>44943</v>
      </c>
      <c r="G247" s="43">
        <f t="shared" si="3"/>
        <v>2023</v>
      </c>
      <c r="H247" s="43">
        <v>3.6</v>
      </c>
      <c r="I247" s="48">
        <v>110000</v>
      </c>
      <c r="J247" s="44">
        <v>7.9</v>
      </c>
      <c r="K247" s="43" t="s">
        <v>16</v>
      </c>
      <c r="L247" s="43"/>
      <c r="M247" s="43"/>
    </row>
    <row r="248" spans="1:13">
      <c r="A248" s="43" t="s">
        <v>459</v>
      </c>
      <c r="B248" s="43" t="s">
        <v>460</v>
      </c>
      <c r="C248" s="43" t="s">
        <v>13</v>
      </c>
      <c r="D248" s="43" t="s">
        <v>31</v>
      </c>
      <c r="E248" s="43" t="s">
        <v>15</v>
      </c>
      <c r="F248" s="47">
        <v>44679</v>
      </c>
      <c r="G248" s="43">
        <f t="shared" si="3"/>
        <v>2022</v>
      </c>
      <c r="H248" s="43">
        <v>4.3</v>
      </c>
      <c r="I248" s="48">
        <v>62000</v>
      </c>
      <c r="J248" s="44">
        <v>6.8</v>
      </c>
      <c r="K248" s="43" t="s">
        <v>92</v>
      </c>
      <c r="L248" s="43"/>
      <c r="M248" s="43"/>
    </row>
    <row r="249" spans="1:13">
      <c r="A249" s="43" t="s">
        <v>461</v>
      </c>
      <c r="B249" s="43" t="s">
        <v>462</v>
      </c>
      <c r="C249" s="43" t="s">
        <v>19</v>
      </c>
      <c r="D249" s="43" t="s">
        <v>20</v>
      </c>
      <c r="E249" s="43" t="s">
        <v>25</v>
      </c>
      <c r="F249" s="47">
        <v>44676</v>
      </c>
      <c r="G249" s="43">
        <f t="shared" si="3"/>
        <v>2022</v>
      </c>
      <c r="H249" s="43">
        <v>4.3</v>
      </c>
      <c r="I249" s="48">
        <v>123000</v>
      </c>
      <c r="J249" s="44">
        <v>7.6</v>
      </c>
      <c r="K249" s="43" t="s">
        <v>16</v>
      </c>
      <c r="L249" s="43"/>
      <c r="M249" s="43"/>
    </row>
    <row r="250" spans="1:13">
      <c r="A250" s="43" t="s">
        <v>463</v>
      </c>
      <c r="B250" s="43" t="s">
        <v>464</v>
      </c>
      <c r="C250" s="43" t="s">
        <v>13</v>
      </c>
      <c r="D250" s="43" t="s">
        <v>28</v>
      </c>
      <c r="E250" s="43" t="s">
        <v>25</v>
      </c>
      <c r="F250" s="47">
        <v>45830</v>
      </c>
      <c r="G250" s="43">
        <f t="shared" si="3"/>
        <v>2025</v>
      </c>
      <c r="H250" s="43">
        <v>1.2</v>
      </c>
      <c r="I250" s="48">
        <v>49000</v>
      </c>
      <c r="J250" s="44">
        <v>8.6</v>
      </c>
      <c r="K250" s="43" t="s">
        <v>16</v>
      </c>
      <c r="L250" s="43"/>
      <c r="M250" s="43"/>
    </row>
    <row r="251" spans="1:13">
      <c r="A251" s="43" t="s">
        <v>465</v>
      </c>
      <c r="B251" s="43" t="s">
        <v>86</v>
      </c>
      <c r="C251" s="43" t="s">
        <v>19</v>
      </c>
      <c r="D251" s="43" t="s">
        <v>20</v>
      </c>
      <c r="E251" s="43" t="s">
        <v>56</v>
      </c>
      <c r="F251" s="47">
        <v>42444</v>
      </c>
      <c r="G251" s="43">
        <f t="shared" si="3"/>
        <v>2016</v>
      </c>
      <c r="H251" s="43">
        <v>10.4</v>
      </c>
      <c r="I251" s="48">
        <v>92000</v>
      </c>
      <c r="J251" s="44">
        <v>7.5</v>
      </c>
      <c r="K251" s="43" t="s">
        <v>16</v>
      </c>
      <c r="L251" s="43"/>
      <c r="M251" s="43"/>
    </row>
    <row r="252" spans="1:13">
      <c r="A252" s="43" t="s">
        <v>466</v>
      </c>
      <c r="B252" s="43" t="s">
        <v>467</v>
      </c>
      <c r="C252" s="43" t="s">
        <v>19</v>
      </c>
      <c r="D252" s="43" t="s">
        <v>42</v>
      </c>
      <c r="E252" s="43" t="s">
        <v>56</v>
      </c>
      <c r="F252" s="47">
        <v>42794</v>
      </c>
      <c r="G252" s="43">
        <f t="shared" si="3"/>
        <v>2017</v>
      </c>
      <c r="H252" s="43">
        <v>9.5</v>
      </c>
      <c r="I252" s="48">
        <v>89000</v>
      </c>
      <c r="J252" s="44">
        <v>8</v>
      </c>
      <c r="K252" s="43" t="s">
        <v>16</v>
      </c>
      <c r="L252" s="43"/>
      <c r="M252" s="43"/>
    </row>
    <row r="253" spans="1:13">
      <c r="A253" s="43" t="s">
        <v>468</v>
      </c>
      <c r="B253" s="43" t="s">
        <v>469</v>
      </c>
      <c r="C253" s="43" t="s">
        <v>19</v>
      </c>
      <c r="D253" s="43" t="s">
        <v>20</v>
      </c>
      <c r="E253" s="43" t="s">
        <v>21</v>
      </c>
      <c r="F253" s="47">
        <v>43213</v>
      </c>
      <c r="G253" s="43">
        <f t="shared" si="3"/>
        <v>2018</v>
      </c>
      <c r="H253" s="43">
        <v>8.3</v>
      </c>
      <c r="I253" s="48">
        <v>122000</v>
      </c>
      <c r="J253" s="44">
        <v>7.9</v>
      </c>
      <c r="K253" s="43" t="s">
        <v>16</v>
      </c>
      <c r="L253" s="43"/>
      <c r="M253" s="43"/>
    </row>
    <row r="254" spans="1:13">
      <c r="A254" s="43" t="s">
        <v>470</v>
      </c>
      <c r="B254" s="43" t="s">
        <v>471</v>
      </c>
      <c r="C254" s="43" t="s">
        <v>13</v>
      </c>
      <c r="D254" s="43" t="s">
        <v>42</v>
      </c>
      <c r="E254" s="43" t="s">
        <v>53</v>
      </c>
      <c r="F254" s="47">
        <v>45392</v>
      </c>
      <c r="G254" s="43">
        <f t="shared" si="3"/>
        <v>2024</v>
      </c>
      <c r="H254" s="43">
        <v>2.4</v>
      </c>
      <c r="I254" s="48">
        <v>65000</v>
      </c>
      <c r="J254" s="44">
        <v>7</v>
      </c>
      <c r="K254" s="43" t="s">
        <v>16</v>
      </c>
      <c r="L254" s="43"/>
      <c r="M254" s="43"/>
    </row>
    <row r="255" spans="1:13">
      <c r="A255" s="43" t="s">
        <v>472</v>
      </c>
      <c r="B255" s="43" t="s">
        <v>339</v>
      </c>
      <c r="C255" s="43" t="s">
        <v>13</v>
      </c>
      <c r="D255" s="43" t="s">
        <v>59</v>
      </c>
      <c r="E255" s="43" t="s">
        <v>21</v>
      </c>
      <c r="F255" s="47">
        <v>43073</v>
      </c>
      <c r="G255" s="43">
        <f t="shared" si="3"/>
        <v>2017</v>
      </c>
      <c r="H255" s="43">
        <v>8.7</v>
      </c>
      <c r="I255" s="48">
        <v>64000</v>
      </c>
      <c r="J255" s="44">
        <v>7.5</v>
      </c>
      <c r="K255" s="43" t="s">
        <v>16</v>
      </c>
      <c r="L255" s="43"/>
      <c r="M255" s="43"/>
    </row>
    <row r="256" spans="1:13">
      <c r="A256" s="43" t="s">
        <v>473</v>
      </c>
      <c r="B256" s="43" t="s">
        <v>474</v>
      </c>
      <c r="C256" s="43" t="s">
        <v>19</v>
      </c>
      <c r="D256" s="43" t="s">
        <v>24</v>
      </c>
      <c r="E256" s="43" t="s">
        <v>56</v>
      </c>
      <c r="F256" s="47">
        <v>43076</v>
      </c>
      <c r="G256" s="43">
        <f t="shared" si="3"/>
        <v>2017</v>
      </c>
      <c r="H256" s="43">
        <v>8.7</v>
      </c>
      <c r="I256" s="48">
        <v>86000</v>
      </c>
      <c r="J256" s="44">
        <v>7.4</v>
      </c>
      <c r="K256" s="43" t="s">
        <v>16</v>
      </c>
      <c r="L256" s="43"/>
      <c r="M256" s="43"/>
    </row>
    <row r="257" spans="1:13">
      <c r="A257" s="43" t="s">
        <v>475</v>
      </c>
      <c r="B257" s="43" t="s">
        <v>439</v>
      </c>
      <c r="C257" s="43" t="s">
        <v>19</v>
      </c>
      <c r="D257" s="43" t="s">
        <v>68</v>
      </c>
      <c r="E257" s="43" t="s">
        <v>53</v>
      </c>
      <c r="F257" s="47">
        <v>45641</v>
      </c>
      <c r="G257" s="43">
        <f t="shared" si="3"/>
        <v>2024</v>
      </c>
      <c r="H257" s="43">
        <v>1.7</v>
      </c>
      <c r="I257" s="48">
        <v>77000</v>
      </c>
      <c r="J257" s="44">
        <v>7.1</v>
      </c>
      <c r="K257" s="43" t="s">
        <v>16</v>
      </c>
      <c r="L257" s="43"/>
      <c r="M257" s="43"/>
    </row>
    <row r="258" spans="1:13">
      <c r="A258" s="43" t="s">
        <v>476</v>
      </c>
      <c r="B258" s="43" t="s">
        <v>477</v>
      </c>
      <c r="C258" s="43" t="s">
        <v>19</v>
      </c>
      <c r="D258" s="43" t="s">
        <v>59</v>
      </c>
      <c r="E258" s="43" t="s">
        <v>53</v>
      </c>
      <c r="F258" s="47">
        <v>43963</v>
      </c>
      <c r="G258" s="43">
        <f t="shared" si="3"/>
        <v>2020</v>
      </c>
      <c r="H258" s="43">
        <v>6.3</v>
      </c>
      <c r="I258" s="48">
        <v>49000</v>
      </c>
      <c r="J258" s="44">
        <v>5</v>
      </c>
      <c r="K258" s="43" t="s">
        <v>16</v>
      </c>
      <c r="L258" s="43"/>
      <c r="M258" s="43"/>
    </row>
    <row r="259" spans="1:13">
      <c r="A259" s="43" t="s">
        <v>478</v>
      </c>
      <c r="B259" s="43" t="s">
        <v>65</v>
      </c>
      <c r="C259" s="43" t="s">
        <v>19</v>
      </c>
      <c r="D259" s="43" t="s">
        <v>42</v>
      </c>
      <c r="E259" s="43" t="s">
        <v>25</v>
      </c>
      <c r="F259" s="47">
        <v>45125</v>
      </c>
      <c r="G259" s="43">
        <f t="shared" ref="G259:G322" si="4">YEAR(F259)</f>
        <v>2023</v>
      </c>
      <c r="H259" s="43">
        <v>3.1</v>
      </c>
      <c r="I259" s="48">
        <v>53000</v>
      </c>
      <c r="J259" s="44">
        <v>8.4</v>
      </c>
      <c r="K259" s="43" t="s">
        <v>16</v>
      </c>
      <c r="L259" s="43"/>
      <c r="M259" s="43"/>
    </row>
    <row r="260" spans="1:13">
      <c r="A260" s="43" t="s">
        <v>479</v>
      </c>
      <c r="B260" s="43" t="s">
        <v>480</v>
      </c>
      <c r="C260" s="43" t="s">
        <v>13</v>
      </c>
      <c r="D260" s="43" t="s">
        <v>24</v>
      </c>
      <c r="E260" s="43" t="s">
        <v>21</v>
      </c>
      <c r="F260" s="47">
        <v>45762</v>
      </c>
      <c r="G260" s="43">
        <f t="shared" si="4"/>
        <v>2025</v>
      </c>
      <c r="H260" s="43">
        <v>1.4</v>
      </c>
      <c r="I260" s="48">
        <v>54000</v>
      </c>
      <c r="J260" s="44">
        <v>8.8</v>
      </c>
      <c r="K260" s="43" t="s">
        <v>16</v>
      </c>
      <c r="L260" s="43"/>
      <c r="M260" s="43"/>
    </row>
    <row r="261" spans="1:13">
      <c r="A261" s="43" t="s">
        <v>481</v>
      </c>
      <c r="B261" s="43" t="s">
        <v>482</v>
      </c>
      <c r="C261" s="43" t="s">
        <v>13</v>
      </c>
      <c r="D261" s="43" t="s">
        <v>42</v>
      </c>
      <c r="E261" s="43" t="s">
        <v>56</v>
      </c>
      <c r="F261" s="47">
        <v>44791</v>
      </c>
      <c r="G261" s="43">
        <f t="shared" si="4"/>
        <v>2022</v>
      </c>
      <c r="H261" s="43">
        <v>4</v>
      </c>
      <c r="I261" s="48">
        <v>51000</v>
      </c>
      <c r="J261" s="44">
        <v>8</v>
      </c>
      <c r="K261" s="43" t="s">
        <v>16</v>
      </c>
      <c r="L261" s="43"/>
      <c r="M261" s="43"/>
    </row>
    <row r="262" spans="1:13">
      <c r="A262" s="43" t="s">
        <v>483</v>
      </c>
      <c r="B262" s="43" t="s">
        <v>484</v>
      </c>
      <c r="C262" s="43" t="s">
        <v>19</v>
      </c>
      <c r="D262" s="43" t="s">
        <v>28</v>
      </c>
      <c r="E262" s="43" t="s">
        <v>15</v>
      </c>
      <c r="F262" s="47">
        <v>42545</v>
      </c>
      <c r="G262" s="43">
        <f t="shared" si="4"/>
        <v>2016</v>
      </c>
      <c r="H262" s="43">
        <v>10.2</v>
      </c>
      <c r="I262" s="48">
        <v>110000</v>
      </c>
      <c r="J262" s="44">
        <v>6.3</v>
      </c>
      <c r="K262" s="43" t="s">
        <v>16</v>
      </c>
      <c r="L262" s="43"/>
      <c r="M262" s="43"/>
    </row>
    <row r="263" spans="1:13">
      <c r="A263" s="43" t="s">
        <v>485</v>
      </c>
      <c r="B263" s="43" t="s">
        <v>486</v>
      </c>
      <c r="C263" s="43" t="s">
        <v>19</v>
      </c>
      <c r="D263" s="43" t="s">
        <v>28</v>
      </c>
      <c r="E263" s="43" t="s">
        <v>25</v>
      </c>
      <c r="F263" s="47">
        <v>45059</v>
      </c>
      <c r="G263" s="43">
        <f t="shared" si="4"/>
        <v>2023</v>
      </c>
      <c r="H263" s="43">
        <v>3.3</v>
      </c>
      <c r="I263" s="48">
        <v>72000</v>
      </c>
      <c r="J263" s="44">
        <v>8.2</v>
      </c>
      <c r="K263" s="43" t="s">
        <v>16</v>
      </c>
      <c r="L263" s="43"/>
      <c r="M263" s="43"/>
    </row>
    <row r="264" spans="1:13">
      <c r="A264" s="43" t="s">
        <v>487</v>
      </c>
      <c r="B264" s="43" t="s">
        <v>488</v>
      </c>
      <c r="C264" s="43" t="s">
        <v>13</v>
      </c>
      <c r="D264" s="43" t="s">
        <v>68</v>
      </c>
      <c r="E264" s="43" t="s">
        <v>56</v>
      </c>
      <c r="F264" s="47">
        <v>42251</v>
      </c>
      <c r="G264" s="43">
        <f t="shared" si="4"/>
        <v>2015</v>
      </c>
      <c r="H264" s="43">
        <v>11</v>
      </c>
      <c r="I264" s="48">
        <v>46000</v>
      </c>
      <c r="J264" s="44">
        <v>8.7</v>
      </c>
      <c r="K264" s="43" t="s">
        <v>16</v>
      </c>
      <c r="L264" s="43"/>
      <c r="M264" s="43"/>
    </row>
    <row r="265" spans="1:13">
      <c r="A265" s="43" t="s">
        <v>489</v>
      </c>
      <c r="B265" s="43" t="s">
        <v>288</v>
      </c>
      <c r="C265" s="43" t="s">
        <v>13</v>
      </c>
      <c r="D265" s="43" t="s">
        <v>42</v>
      </c>
      <c r="E265" s="43" t="s">
        <v>53</v>
      </c>
      <c r="F265" s="47">
        <v>44650</v>
      </c>
      <c r="G265" s="43">
        <f t="shared" si="4"/>
        <v>2022</v>
      </c>
      <c r="H265" s="43">
        <v>4.4</v>
      </c>
      <c r="I265" s="48">
        <v>64000</v>
      </c>
      <c r="J265" s="44">
        <v>7.4</v>
      </c>
      <c r="K265" s="43" t="s">
        <v>16</v>
      </c>
      <c r="L265" s="43"/>
      <c r="M265" s="43"/>
    </row>
    <row r="266" spans="1:13">
      <c r="A266" s="43" t="s">
        <v>490</v>
      </c>
      <c r="B266" s="43" t="s">
        <v>259</v>
      </c>
      <c r="C266" s="43" t="s">
        <v>19</v>
      </c>
      <c r="D266" s="43" t="s">
        <v>31</v>
      </c>
      <c r="E266" s="43" t="s">
        <v>21</v>
      </c>
      <c r="F266" s="47">
        <v>42333</v>
      </c>
      <c r="G266" s="43">
        <f t="shared" si="4"/>
        <v>2015</v>
      </c>
      <c r="H266" s="43">
        <v>10.7</v>
      </c>
      <c r="I266" s="48">
        <v>75000</v>
      </c>
      <c r="J266" s="44">
        <v>9.7</v>
      </c>
      <c r="K266" s="43" t="s">
        <v>16</v>
      </c>
      <c r="L266" s="43"/>
      <c r="M266" s="43"/>
    </row>
    <row r="267" spans="1:13">
      <c r="A267" s="43" t="s">
        <v>491</v>
      </c>
      <c r="B267" s="43" t="s">
        <v>335</v>
      </c>
      <c r="C267" s="43" t="s">
        <v>19</v>
      </c>
      <c r="D267" s="43" t="s">
        <v>31</v>
      </c>
      <c r="E267" s="43" t="s">
        <v>21</v>
      </c>
      <c r="F267" s="47">
        <v>42526</v>
      </c>
      <c r="G267" s="43">
        <f t="shared" si="4"/>
        <v>2016</v>
      </c>
      <c r="H267" s="43">
        <v>10.2</v>
      </c>
      <c r="I267" s="48">
        <v>78000</v>
      </c>
      <c r="J267" s="44">
        <v>7</v>
      </c>
      <c r="K267" s="43" t="s">
        <v>92</v>
      </c>
      <c r="L267" s="43"/>
      <c r="M267" s="43"/>
    </row>
    <row r="268" spans="1:13">
      <c r="A268" s="43" t="s">
        <v>492</v>
      </c>
      <c r="B268" s="43" t="s">
        <v>169</v>
      </c>
      <c r="C268" s="43" t="s">
        <v>13</v>
      </c>
      <c r="D268" s="43" t="s">
        <v>31</v>
      </c>
      <c r="E268" s="43" t="s">
        <v>56</v>
      </c>
      <c r="F268" s="47">
        <v>44950</v>
      </c>
      <c r="G268" s="43">
        <f t="shared" si="4"/>
        <v>2023</v>
      </c>
      <c r="H268" s="43">
        <v>3.6</v>
      </c>
      <c r="I268" s="48">
        <v>66000</v>
      </c>
      <c r="J268" s="44">
        <v>6.5</v>
      </c>
      <c r="K268" s="43" t="s">
        <v>16</v>
      </c>
      <c r="L268" s="43"/>
      <c r="M268" s="43"/>
    </row>
    <row r="269" spans="1:13">
      <c r="A269" s="43" t="s">
        <v>493</v>
      </c>
      <c r="B269" s="43" t="s">
        <v>494</v>
      </c>
      <c r="C269" s="43" t="s">
        <v>19</v>
      </c>
      <c r="D269" s="43" t="s">
        <v>59</v>
      </c>
      <c r="E269" s="43" t="s">
        <v>53</v>
      </c>
      <c r="F269" s="47">
        <v>44974</v>
      </c>
      <c r="G269" s="43">
        <f t="shared" si="4"/>
        <v>2023</v>
      </c>
      <c r="H269" s="43">
        <v>3.5</v>
      </c>
      <c r="I269" s="48">
        <v>88000</v>
      </c>
      <c r="J269" s="44">
        <v>8</v>
      </c>
      <c r="K269" s="43" t="s">
        <v>16</v>
      </c>
      <c r="L269" s="43"/>
      <c r="M269" s="43"/>
    </row>
    <row r="270" spans="1:13">
      <c r="A270" s="43" t="s">
        <v>495</v>
      </c>
      <c r="B270" s="43" t="s">
        <v>102</v>
      </c>
      <c r="C270" s="43" t="s">
        <v>19</v>
      </c>
      <c r="D270" s="43" t="s">
        <v>31</v>
      </c>
      <c r="E270" s="43" t="s">
        <v>53</v>
      </c>
      <c r="F270" s="47">
        <v>42990</v>
      </c>
      <c r="G270" s="43">
        <f t="shared" si="4"/>
        <v>2017</v>
      </c>
      <c r="H270" s="43">
        <v>9</v>
      </c>
      <c r="I270" s="48">
        <v>45000</v>
      </c>
      <c r="J270" s="44">
        <v>8.8</v>
      </c>
      <c r="K270" s="43" t="s">
        <v>16</v>
      </c>
      <c r="L270" s="43"/>
      <c r="M270" s="43"/>
    </row>
    <row r="271" spans="1:13">
      <c r="A271" s="43" t="s">
        <v>496</v>
      </c>
      <c r="B271" s="43" t="s">
        <v>497</v>
      </c>
      <c r="C271" s="43" t="s">
        <v>13</v>
      </c>
      <c r="D271" s="43" t="s">
        <v>20</v>
      </c>
      <c r="E271" s="43" t="s">
        <v>56</v>
      </c>
      <c r="F271" s="47">
        <v>44215</v>
      </c>
      <c r="G271" s="43">
        <f t="shared" si="4"/>
        <v>2021</v>
      </c>
      <c r="H271" s="43">
        <v>5.6</v>
      </c>
      <c r="I271" s="48">
        <v>77000</v>
      </c>
      <c r="J271" s="44">
        <v>8.1</v>
      </c>
      <c r="K271" s="43" t="s">
        <v>16</v>
      </c>
      <c r="L271" s="43"/>
      <c r="M271" s="43"/>
    </row>
    <row r="272" spans="1:13">
      <c r="A272" s="43" t="s">
        <v>498</v>
      </c>
      <c r="B272" s="43" t="s">
        <v>499</v>
      </c>
      <c r="C272" s="43" t="s">
        <v>13</v>
      </c>
      <c r="D272" s="43" t="s">
        <v>31</v>
      </c>
      <c r="E272" s="43" t="s">
        <v>21</v>
      </c>
      <c r="F272" s="47">
        <v>45758</v>
      </c>
      <c r="G272" s="43">
        <f t="shared" si="4"/>
        <v>2025</v>
      </c>
      <c r="H272" s="43">
        <v>1.4</v>
      </c>
      <c r="I272" s="48">
        <v>78000</v>
      </c>
      <c r="J272" s="44">
        <v>6.2</v>
      </c>
      <c r="K272" s="43" t="s">
        <v>16</v>
      </c>
      <c r="L272" s="43"/>
      <c r="M272" s="43"/>
    </row>
    <row r="273" spans="1:13">
      <c r="A273" s="43" t="s">
        <v>500</v>
      </c>
      <c r="B273" s="43" t="s">
        <v>96</v>
      </c>
      <c r="C273" s="43" t="s">
        <v>19</v>
      </c>
      <c r="D273" s="43" t="s">
        <v>42</v>
      </c>
      <c r="E273" s="43" t="s">
        <v>53</v>
      </c>
      <c r="F273" s="47">
        <v>44140</v>
      </c>
      <c r="G273" s="43">
        <f t="shared" si="4"/>
        <v>2020</v>
      </c>
      <c r="H273" s="43">
        <v>5.8</v>
      </c>
      <c r="I273" s="48">
        <v>52000</v>
      </c>
      <c r="J273" s="44">
        <v>6.8</v>
      </c>
      <c r="K273" s="43" t="s">
        <v>16</v>
      </c>
      <c r="L273" s="43"/>
      <c r="M273" s="43"/>
    </row>
    <row r="274" spans="1:13">
      <c r="A274" s="43" t="s">
        <v>501</v>
      </c>
      <c r="B274" s="43" t="s">
        <v>502</v>
      </c>
      <c r="C274" s="43" t="s">
        <v>19</v>
      </c>
      <c r="D274" s="43" t="s">
        <v>31</v>
      </c>
      <c r="E274" s="43" t="s">
        <v>53</v>
      </c>
      <c r="F274" s="47">
        <v>45738</v>
      </c>
      <c r="G274" s="43">
        <f t="shared" si="4"/>
        <v>2025</v>
      </c>
      <c r="H274" s="43">
        <v>1.4</v>
      </c>
      <c r="I274" s="48">
        <v>43000</v>
      </c>
      <c r="J274" s="44">
        <v>6.7</v>
      </c>
      <c r="K274" s="43" t="s">
        <v>16</v>
      </c>
      <c r="L274" s="43"/>
      <c r="M274" s="43"/>
    </row>
    <row r="275" spans="1:13">
      <c r="A275" s="43" t="s">
        <v>503</v>
      </c>
      <c r="B275" s="43" t="s">
        <v>355</v>
      </c>
      <c r="C275" s="43" t="s">
        <v>19</v>
      </c>
      <c r="D275" s="43" t="s">
        <v>28</v>
      </c>
      <c r="E275" s="43" t="s">
        <v>56</v>
      </c>
      <c r="F275" s="47">
        <v>44857</v>
      </c>
      <c r="G275" s="43">
        <f t="shared" si="4"/>
        <v>2022</v>
      </c>
      <c r="H275" s="43">
        <v>3.8</v>
      </c>
      <c r="I275" s="48">
        <v>98000</v>
      </c>
      <c r="J275" s="44">
        <v>6.7</v>
      </c>
      <c r="K275" s="43" t="s">
        <v>16</v>
      </c>
      <c r="L275" s="43"/>
      <c r="M275" s="43"/>
    </row>
    <row r="276" spans="1:13">
      <c r="A276" s="43" t="s">
        <v>504</v>
      </c>
      <c r="B276" s="43" t="s">
        <v>505</v>
      </c>
      <c r="C276" s="43" t="s">
        <v>19</v>
      </c>
      <c r="D276" s="43" t="s">
        <v>68</v>
      </c>
      <c r="E276" s="43" t="s">
        <v>56</v>
      </c>
      <c r="F276" s="47">
        <v>45483</v>
      </c>
      <c r="G276" s="43">
        <f t="shared" si="4"/>
        <v>2024</v>
      </c>
      <c r="H276" s="43">
        <v>2.1</v>
      </c>
      <c r="I276" s="48">
        <v>66000</v>
      </c>
      <c r="J276" s="44">
        <v>7</v>
      </c>
      <c r="K276" s="43" t="s">
        <v>16</v>
      </c>
      <c r="L276" s="43"/>
      <c r="M276" s="43"/>
    </row>
    <row r="277" spans="1:13">
      <c r="A277" s="43" t="s">
        <v>506</v>
      </c>
      <c r="B277" s="43" t="s">
        <v>507</v>
      </c>
      <c r="C277" s="43" t="s">
        <v>13</v>
      </c>
      <c r="D277" s="43" t="s">
        <v>31</v>
      </c>
      <c r="E277" s="43" t="s">
        <v>56</v>
      </c>
      <c r="F277" s="47">
        <v>42554</v>
      </c>
      <c r="G277" s="43">
        <f t="shared" si="4"/>
        <v>2016</v>
      </c>
      <c r="H277" s="43">
        <v>10.1</v>
      </c>
      <c r="I277" s="48">
        <v>56000</v>
      </c>
      <c r="J277" s="44">
        <v>9.1</v>
      </c>
      <c r="K277" s="43" t="s">
        <v>16</v>
      </c>
      <c r="L277" s="43"/>
      <c r="M277" s="43"/>
    </row>
    <row r="278" spans="1:13">
      <c r="A278" s="43" t="s">
        <v>508</v>
      </c>
      <c r="B278" s="43" t="s">
        <v>161</v>
      </c>
      <c r="C278" s="43" t="s">
        <v>13</v>
      </c>
      <c r="D278" s="43" t="s">
        <v>20</v>
      </c>
      <c r="E278" s="43" t="s">
        <v>56</v>
      </c>
      <c r="F278" s="47">
        <v>43524</v>
      </c>
      <c r="G278" s="43">
        <f t="shared" si="4"/>
        <v>2019</v>
      </c>
      <c r="H278" s="43">
        <v>7.5</v>
      </c>
      <c r="I278" s="48">
        <v>61000</v>
      </c>
      <c r="J278" s="44">
        <v>5.5</v>
      </c>
      <c r="K278" s="43" t="s">
        <v>16</v>
      </c>
      <c r="L278" s="43"/>
      <c r="M278" s="43"/>
    </row>
    <row r="279" spans="1:13">
      <c r="A279" s="43" t="s">
        <v>509</v>
      </c>
      <c r="B279" s="43" t="s">
        <v>510</v>
      </c>
      <c r="C279" s="43" t="s">
        <v>19</v>
      </c>
      <c r="D279" s="43" t="s">
        <v>68</v>
      </c>
      <c r="E279" s="43" t="s">
        <v>53</v>
      </c>
      <c r="F279" s="47">
        <v>42775</v>
      </c>
      <c r="G279" s="43">
        <f t="shared" si="4"/>
        <v>2017</v>
      </c>
      <c r="H279" s="43">
        <v>9.5</v>
      </c>
      <c r="I279" s="48">
        <v>113000</v>
      </c>
      <c r="J279" s="44">
        <v>7</v>
      </c>
      <c r="K279" s="43" t="s">
        <v>16</v>
      </c>
      <c r="L279" s="43"/>
      <c r="M279" s="43"/>
    </row>
    <row r="280" spans="1:13">
      <c r="A280" s="43" t="s">
        <v>511</v>
      </c>
      <c r="B280" s="43" t="s">
        <v>512</v>
      </c>
      <c r="C280" s="43" t="s">
        <v>13</v>
      </c>
      <c r="D280" s="43" t="s">
        <v>42</v>
      </c>
      <c r="E280" s="43" t="s">
        <v>21</v>
      </c>
      <c r="F280" s="47">
        <v>45924</v>
      </c>
      <c r="G280" s="43">
        <f t="shared" si="4"/>
        <v>2025</v>
      </c>
      <c r="H280" s="43">
        <v>0.9</v>
      </c>
      <c r="I280" s="48">
        <v>38000</v>
      </c>
      <c r="J280" s="44">
        <v>7.7</v>
      </c>
      <c r="K280" s="43" t="s">
        <v>16</v>
      </c>
      <c r="L280" s="43"/>
      <c r="M280" s="43"/>
    </row>
    <row r="281" spans="1:13">
      <c r="A281" s="43" t="s">
        <v>513</v>
      </c>
      <c r="B281" s="43" t="s">
        <v>514</v>
      </c>
      <c r="C281" s="43" t="s">
        <v>19</v>
      </c>
      <c r="D281" s="43" t="s">
        <v>68</v>
      </c>
      <c r="E281" s="43" t="s">
        <v>25</v>
      </c>
      <c r="F281" s="47">
        <v>43629</v>
      </c>
      <c r="G281" s="43">
        <f t="shared" si="4"/>
        <v>2019</v>
      </c>
      <c r="H281" s="43">
        <v>7.2</v>
      </c>
      <c r="I281" s="48">
        <v>68000</v>
      </c>
      <c r="J281" s="44">
        <v>8.2</v>
      </c>
      <c r="K281" s="43" t="s">
        <v>16</v>
      </c>
      <c r="L281" s="43"/>
      <c r="M281" s="43"/>
    </row>
    <row r="282" spans="1:13">
      <c r="A282" s="43" t="s">
        <v>515</v>
      </c>
      <c r="B282" s="43" t="s">
        <v>203</v>
      </c>
      <c r="C282" s="43" t="s">
        <v>19</v>
      </c>
      <c r="D282" s="43" t="s">
        <v>24</v>
      </c>
      <c r="E282" s="43" t="s">
        <v>21</v>
      </c>
      <c r="F282" s="47">
        <v>43076</v>
      </c>
      <c r="G282" s="43">
        <f t="shared" si="4"/>
        <v>2017</v>
      </c>
      <c r="H282" s="43">
        <v>8.7</v>
      </c>
      <c r="I282" s="48">
        <v>86000</v>
      </c>
      <c r="J282" s="44">
        <v>6.2</v>
      </c>
      <c r="K282" s="43" t="s">
        <v>16</v>
      </c>
      <c r="L282" s="43"/>
      <c r="M282" s="43"/>
    </row>
    <row r="283" spans="1:13">
      <c r="A283" s="43" t="s">
        <v>516</v>
      </c>
      <c r="B283" s="43" t="s">
        <v>173</v>
      </c>
      <c r="C283" s="43" t="s">
        <v>19</v>
      </c>
      <c r="D283" s="43" t="s">
        <v>59</v>
      </c>
      <c r="E283" s="43" t="s">
        <v>15</v>
      </c>
      <c r="F283" s="47">
        <v>43286</v>
      </c>
      <c r="G283" s="43">
        <f t="shared" si="4"/>
        <v>2018</v>
      </c>
      <c r="H283" s="43">
        <v>8.1</v>
      </c>
      <c r="I283" s="48">
        <v>66000</v>
      </c>
      <c r="J283" s="44">
        <v>7.4</v>
      </c>
      <c r="K283" s="43" t="s">
        <v>16</v>
      </c>
      <c r="L283" s="43"/>
      <c r="M283" s="43"/>
    </row>
    <row r="284" spans="1:13">
      <c r="A284" s="43" t="s">
        <v>517</v>
      </c>
      <c r="B284" s="43" t="s">
        <v>518</v>
      </c>
      <c r="C284" s="43" t="s">
        <v>13</v>
      </c>
      <c r="D284" s="43" t="s">
        <v>20</v>
      </c>
      <c r="E284" s="43" t="s">
        <v>56</v>
      </c>
      <c r="F284" s="47">
        <v>44397</v>
      </c>
      <c r="G284" s="43">
        <f t="shared" si="4"/>
        <v>2021</v>
      </c>
      <c r="H284" s="43">
        <v>5.1</v>
      </c>
      <c r="I284" s="48">
        <v>124000</v>
      </c>
      <c r="J284" s="44">
        <v>7.3</v>
      </c>
      <c r="K284" s="43" t="s">
        <v>16</v>
      </c>
      <c r="L284" s="43"/>
      <c r="M284" s="43"/>
    </row>
    <row r="285" spans="1:13">
      <c r="A285" s="43" t="s">
        <v>519</v>
      </c>
      <c r="B285" s="43" t="s">
        <v>300</v>
      </c>
      <c r="C285" s="43" t="s">
        <v>13</v>
      </c>
      <c r="D285" s="43" t="s">
        <v>42</v>
      </c>
      <c r="E285" s="43" t="s">
        <v>56</v>
      </c>
      <c r="F285" s="47">
        <v>44686</v>
      </c>
      <c r="G285" s="43">
        <f t="shared" si="4"/>
        <v>2022</v>
      </c>
      <c r="H285" s="43">
        <v>4.3</v>
      </c>
      <c r="I285" s="48">
        <v>81000</v>
      </c>
      <c r="J285" s="44">
        <v>6.6</v>
      </c>
      <c r="K285" s="43" t="s">
        <v>16</v>
      </c>
      <c r="L285" s="43"/>
      <c r="M285" s="43"/>
    </row>
    <row r="286" spans="1:13">
      <c r="A286" s="43" t="s">
        <v>520</v>
      </c>
      <c r="B286" s="43" t="s">
        <v>521</v>
      </c>
      <c r="C286" s="43" t="s">
        <v>19</v>
      </c>
      <c r="D286" s="43" t="s">
        <v>68</v>
      </c>
      <c r="E286" s="43" t="s">
        <v>56</v>
      </c>
      <c r="F286" s="47">
        <v>45006</v>
      </c>
      <c r="G286" s="43">
        <f t="shared" si="4"/>
        <v>2023</v>
      </c>
      <c r="H286" s="43">
        <v>3.4</v>
      </c>
      <c r="I286" s="48">
        <v>83000</v>
      </c>
      <c r="J286" s="44">
        <v>8.4</v>
      </c>
      <c r="K286" s="43" t="s">
        <v>16</v>
      </c>
      <c r="L286" s="43"/>
      <c r="M286" s="43"/>
    </row>
    <row r="287" spans="1:13">
      <c r="A287" s="43" t="s">
        <v>522</v>
      </c>
      <c r="B287" s="43" t="s">
        <v>523</v>
      </c>
      <c r="C287" s="43" t="s">
        <v>13</v>
      </c>
      <c r="D287" s="43" t="s">
        <v>42</v>
      </c>
      <c r="E287" s="43" t="s">
        <v>15</v>
      </c>
      <c r="F287" s="47">
        <v>45355</v>
      </c>
      <c r="G287" s="43">
        <f t="shared" si="4"/>
        <v>2024</v>
      </c>
      <c r="H287" s="43">
        <v>2.5</v>
      </c>
      <c r="I287" s="48">
        <v>80000</v>
      </c>
      <c r="J287" s="44">
        <v>9</v>
      </c>
      <c r="K287" s="43" t="s">
        <v>16</v>
      </c>
      <c r="L287" s="43"/>
      <c r="M287" s="43"/>
    </row>
    <row r="288" spans="1:13">
      <c r="A288" s="43" t="s">
        <v>524</v>
      </c>
      <c r="B288" s="43" t="s">
        <v>525</v>
      </c>
      <c r="C288" s="43" t="s">
        <v>13</v>
      </c>
      <c r="D288" s="43" t="s">
        <v>42</v>
      </c>
      <c r="E288" s="43" t="s">
        <v>21</v>
      </c>
      <c r="F288" s="47">
        <v>44901</v>
      </c>
      <c r="G288" s="43">
        <f t="shared" si="4"/>
        <v>2022</v>
      </c>
      <c r="H288" s="43">
        <v>3.7</v>
      </c>
      <c r="I288" s="48">
        <v>47000</v>
      </c>
      <c r="J288" s="44">
        <v>8.8</v>
      </c>
      <c r="K288" s="43" t="s">
        <v>16</v>
      </c>
      <c r="L288" s="43"/>
      <c r="M288" s="43"/>
    </row>
    <row r="289" spans="1:13">
      <c r="A289" s="43" t="s">
        <v>526</v>
      </c>
      <c r="B289" s="43" t="s">
        <v>527</v>
      </c>
      <c r="C289" s="43" t="s">
        <v>19</v>
      </c>
      <c r="D289" s="43" t="s">
        <v>20</v>
      </c>
      <c r="E289" s="43" t="s">
        <v>56</v>
      </c>
      <c r="F289" s="47">
        <v>43689</v>
      </c>
      <c r="G289" s="43">
        <f t="shared" si="4"/>
        <v>2019</v>
      </c>
      <c r="H289" s="43">
        <v>7</v>
      </c>
      <c r="I289" s="48">
        <v>51000</v>
      </c>
      <c r="J289" s="44">
        <v>7.6</v>
      </c>
      <c r="K289" s="43" t="s">
        <v>16</v>
      </c>
      <c r="L289" s="43"/>
      <c r="M289" s="43"/>
    </row>
    <row r="290" spans="1:13">
      <c r="A290" s="43" t="s">
        <v>528</v>
      </c>
      <c r="B290" s="43" t="s">
        <v>199</v>
      </c>
      <c r="C290" s="43" t="s">
        <v>19</v>
      </c>
      <c r="D290" s="43" t="s">
        <v>20</v>
      </c>
      <c r="E290" s="43" t="s">
        <v>25</v>
      </c>
      <c r="F290" s="47">
        <v>44765</v>
      </c>
      <c r="G290" s="43">
        <f t="shared" si="4"/>
        <v>2022</v>
      </c>
      <c r="H290" s="43">
        <v>4.1</v>
      </c>
      <c r="I290" s="48">
        <v>105000</v>
      </c>
      <c r="J290" s="44">
        <v>8.3</v>
      </c>
      <c r="K290" s="43" t="s">
        <v>16</v>
      </c>
      <c r="L290" s="43"/>
      <c r="M290" s="43"/>
    </row>
    <row r="291" spans="1:13">
      <c r="A291" s="43" t="s">
        <v>529</v>
      </c>
      <c r="B291" s="43" t="s">
        <v>530</v>
      </c>
      <c r="C291" s="43" t="s">
        <v>13</v>
      </c>
      <c r="D291" s="43" t="s">
        <v>59</v>
      </c>
      <c r="E291" s="43" t="s">
        <v>56</v>
      </c>
      <c r="F291" s="47">
        <v>43038</v>
      </c>
      <c r="G291" s="43">
        <f t="shared" si="4"/>
        <v>2017</v>
      </c>
      <c r="H291" s="43">
        <v>8.8</v>
      </c>
      <c r="I291" s="48">
        <v>92000</v>
      </c>
      <c r="J291" s="44">
        <v>5.2</v>
      </c>
      <c r="K291" s="43" t="s">
        <v>16</v>
      </c>
      <c r="L291" s="43"/>
      <c r="M291" s="43"/>
    </row>
    <row r="292" spans="1:13">
      <c r="A292" s="43" t="s">
        <v>531</v>
      </c>
      <c r="B292" s="43" t="s">
        <v>349</v>
      </c>
      <c r="C292" s="43" t="s">
        <v>19</v>
      </c>
      <c r="D292" s="43" t="s">
        <v>31</v>
      </c>
      <c r="E292" s="43" t="s">
        <v>56</v>
      </c>
      <c r="F292" s="47">
        <v>43001</v>
      </c>
      <c r="G292" s="43">
        <f t="shared" si="4"/>
        <v>2017</v>
      </c>
      <c r="H292" s="43">
        <v>8.9</v>
      </c>
      <c r="I292" s="48">
        <v>76000</v>
      </c>
      <c r="J292" s="44">
        <v>7.8</v>
      </c>
      <c r="K292" s="43" t="s">
        <v>16</v>
      </c>
      <c r="L292" s="43"/>
      <c r="M292" s="43"/>
    </row>
    <row r="293" spans="1:13">
      <c r="A293" s="43" t="s">
        <v>532</v>
      </c>
      <c r="B293" s="43" t="s">
        <v>305</v>
      </c>
      <c r="C293" s="43" t="s">
        <v>13</v>
      </c>
      <c r="D293" s="43" t="s">
        <v>28</v>
      </c>
      <c r="E293" s="43" t="s">
        <v>56</v>
      </c>
      <c r="F293" s="47">
        <v>42234</v>
      </c>
      <c r="G293" s="43">
        <f t="shared" si="4"/>
        <v>2015</v>
      </c>
      <c r="H293" s="43">
        <v>11</v>
      </c>
      <c r="I293" s="48">
        <v>46000</v>
      </c>
      <c r="J293" s="44">
        <v>9.2</v>
      </c>
      <c r="K293" s="43" t="s">
        <v>16</v>
      </c>
      <c r="L293" s="43"/>
      <c r="M293" s="43"/>
    </row>
    <row r="294" spans="1:13">
      <c r="A294" s="43" t="s">
        <v>533</v>
      </c>
      <c r="B294" s="43" t="s">
        <v>441</v>
      </c>
      <c r="C294" s="43" t="s">
        <v>13</v>
      </c>
      <c r="D294" s="43" t="s">
        <v>28</v>
      </c>
      <c r="E294" s="43" t="s">
        <v>25</v>
      </c>
      <c r="F294" s="47">
        <v>44322</v>
      </c>
      <c r="G294" s="43">
        <f t="shared" si="4"/>
        <v>2021</v>
      </c>
      <c r="H294" s="43">
        <v>5.3</v>
      </c>
      <c r="I294" s="48">
        <v>57000</v>
      </c>
      <c r="J294" s="44">
        <v>9.4</v>
      </c>
      <c r="K294" s="43" t="s">
        <v>16</v>
      </c>
      <c r="L294" s="43"/>
      <c r="M294" s="43"/>
    </row>
    <row r="295" spans="1:13">
      <c r="A295" s="43" t="s">
        <v>534</v>
      </c>
      <c r="B295" s="43" t="s">
        <v>535</v>
      </c>
      <c r="C295" s="43" t="s">
        <v>19</v>
      </c>
      <c r="D295" s="43" t="s">
        <v>31</v>
      </c>
      <c r="E295" s="43" t="s">
        <v>25</v>
      </c>
      <c r="F295" s="47">
        <v>43153</v>
      </c>
      <c r="G295" s="43">
        <f t="shared" si="4"/>
        <v>2018</v>
      </c>
      <c r="H295" s="43">
        <v>8.5</v>
      </c>
      <c r="I295" s="48">
        <v>66000</v>
      </c>
      <c r="J295" s="44">
        <v>6</v>
      </c>
      <c r="K295" s="43" t="s">
        <v>16</v>
      </c>
      <c r="L295" s="43"/>
      <c r="M295" s="43"/>
    </row>
    <row r="296" spans="1:13">
      <c r="A296" s="43" t="s">
        <v>536</v>
      </c>
      <c r="B296" s="43" t="s">
        <v>537</v>
      </c>
      <c r="C296" s="43" t="s">
        <v>13</v>
      </c>
      <c r="D296" s="43" t="s">
        <v>59</v>
      </c>
      <c r="E296" s="43" t="s">
        <v>53</v>
      </c>
      <c r="F296" s="47">
        <v>44409</v>
      </c>
      <c r="G296" s="43">
        <f t="shared" si="4"/>
        <v>2021</v>
      </c>
      <c r="H296" s="43">
        <v>5.1</v>
      </c>
      <c r="I296" s="48">
        <v>49000</v>
      </c>
      <c r="J296" s="44">
        <v>7.5</v>
      </c>
      <c r="K296" s="43" t="s">
        <v>16</v>
      </c>
      <c r="L296" s="43"/>
      <c r="M296" s="43"/>
    </row>
    <row r="297" spans="1:13">
      <c r="A297" s="43" t="s">
        <v>538</v>
      </c>
      <c r="B297" s="43" t="s">
        <v>539</v>
      </c>
      <c r="C297" s="43" t="s">
        <v>13</v>
      </c>
      <c r="D297" s="43" t="s">
        <v>24</v>
      </c>
      <c r="E297" s="43" t="s">
        <v>56</v>
      </c>
      <c r="F297" s="47">
        <v>45484</v>
      </c>
      <c r="G297" s="43">
        <f t="shared" si="4"/>
        <v>2024</v>
      </c>
      <c r="H297" s="43">
        <v>2.1</v>
      </c>
      <c r="I297" s="48">
        <v>89000</v>
      </c>
      <c r="J297" s="44">
        <v>5.8</v>
      </c>
      <c r="K297" s="43" t="s">
        <v>16</v>
      </c>
      <c r="L297" s="43"/>
      <c r="M297" s="43"/>
    </row>
    <row r="298" spans="1:13">
      <c r="A298" s="43" t="s">
        <v>540</v>
      </c>
      <c r="B298" s="43" t="s">
        <v>541</v>
      </c>
      <c r="C298" s="43" t="s">
        <v>19</v>
      </c>
      <c r="D298" s="43" t="s">
        <v>68</v>
      </c>
      <c r="E298" s="43" t="s">
        <v>25</v>
      </c>
      <c r="F298" s="47">
        <v>44828</v>
      </c>
      <c r="G298" s="43">
        <f t="shared" si="4"/>
        <v>2022</v>
      </c>
      <c r="H298" s="43">
        <v>3.9</v>
      </c>
      <c r="I298" s="48">
        <v>48000</v>
      </c>
      <c r="J298" s="44">
        <v>5</v>
      </c>
      <c r="K298" s="43" t="s">
        <v>16</v>
      </c>
      <c r="L298" s="43"/>
      <c r="M298" s="43"/>
    </row>
    <row r="299" spans="1:13">
      <c r="A299" s="43" t="s">
        <v>542</v>
      </c>
      <c r="B299" s="43" t="s">
        <v>543</v>
      </c>
      <c r="C299" s="43" t="s">
        <v>19</v>
      </c>
      <c r="D299" s="43" t="s">
        <v>20</v>
      </c>
      <c r="E299" s="43" t="s">
        <v>56</v>
      </c>
      <c r="F299" s="47">
        <v>44519</v>
      </c>
      <c r="G299" s="43">
        <f t="shared" si="4"/>
        <v>2021</v>
      </c>
      <c r="H299" s="43">
        <v>4.8</v>
      </c>
      <c r="I299" s="48">
        <v>126000</v>
      </c>
      <c r="J299" s="44">
        <v>7.5</v>
      </c>
      <c r="K299" s="43" t="s">
        <v>16</v>
      </c>
      <c r="L299" s="43"/>
      <c r="M299" s="43"/>
    </row>
    <row r="300" spans="1:13">
      <c r="A300" s="43" t="s">
        <v>544</v>
      </c>
      <c r="B300" s="43" t="s">
        <v>231</v>
      </c>
      <c r="C300" s="43" t="s">
        <v>19</v>
      </c>
      <c r="D300" s="43" t="s">
        <v>59</v>
      </c>
      <c r="E300" s="43" t="s">
        <v>53</v>
      </c>
      <c r="F300" s="47">
        <v>44014</v>
      </c>
      <c r="G300" s="43">
        <f t="shared" si="4"/>
        <v>2020</v>
      </c>
      <c r="H300" s="43">
        <v>6.1</v>
      </c>
      <c r="I300" s="48">
        <v>54000</v>
      </c>
      <c r="J300" s="44">
        <v>5.9</v>
      </c>
      <c r="K300" s="43" t="s">
        <v>16</v>
      </c>
      <c r="L300" s="43"/>
      <c r="M300" s="43"/>
    </row>
    <row r="301" spans="1:13">
      <c r="A301" s="43" t="s">
        <v>545</v>
      </c>
      <c r="B301" s="43" t="s">
        <v>273</v>
      </c>
      <c r="C301" s="43" t="s">
        <v>19</v>
      </c>
      <c r="D301" s="43" t="s">
        <v>68</v>
      </c>
      <c r="E301" s="43" t="s">
        <v>25</v>
      </c>
      <c r="F301" s="47">
        <v>44925</v>
      </c>
      <c r="G301" s="43">
        <f t="shared" si="4"/>
        <v>2022</v>
      </c>
      <c r="H301" s="43">
        <v>3.7</v>
      </c>
      <c r="I301" s="48">
        <v>47000</v>
      </c>
      <c r="J301" s="44">
        <v>9.6</v>
      </c>
      <c r="K301" s="43" t="s">
        <v>16</v>
      </c>
      <c r="L301" s="43"/>
      <c r="M301" s="43"/>
    </row>
    <row r="302" spans="1:13">
      <c r="A302" s="43" t="s">
        <v>546</v>
      </c>
      <c r="B302" s="43" t="s">
        <v>175</v>
      </c>
      <c r="C302" s="43" t="s">
        <v>13</v>
      </c>
      <c r="D302" s="43" t="s">
        <v>42</v>
      </c>
      <c r="E302" s="43" t="s">
        <v>15</v>
      </c>
      <c r="F302" s="47">
        <v>43600</v>
      </c>
      <c r="G302" s="43">
        <f t="shared" si="4"/>
        <v>2019</v>
      </c>
      <c r="H302" s="43">
        <v>7.3</v>
      </c>
      <c r="I302" s="48">
        <v>58000</v>
      </c>
      <c r="J302" s="44">
        <v>7.2</v>
      </c>
      <c r="K302" s="43" t="s">
        <v>92</v>
      </c>
      <c r="L302" s="43"/>
      <c r="M302" s="43"/>
    </row>
    <row r="303" spans="1:13">
      <c r="A303" s="43" t="s">
        <v>547</v>
      </c>
      <c r="B303" s="43" t="s">
        <v>114</v>
      </c>
      <c r="C303" s="43" t="s">
        <v>19</v>
      </c>
      <c r="D303" s="43" t="s">
        <v>59</v>
      </c>
      <c r="E303" s="43" t="s">
        <v>15</v>
      </c>
      <c r="F303" s="47">
        <v>42772</v>
      </c>
      <c r="G303" s="43">
        <f t="shared" si="4"/>
        <v>2017</v>
      </c>
      <c r="H303" s="43">
        <v>9.5</v>
      </c>
      <c r="I303" s="48">
        <v>67000</v>
      </c>
      <c r="J303" s="44">
        <v>7.9</v>
      </c>
      <c r="K303" s="43" t="s">
        <v>16</v>
      </c>
      <c r="L303" s="43"/>
      <c r="M303" s="43"/>
    </row>
    <row r="304" spans="1:13">
      <c r="A304" s="43" t="s">
        <v>548</v>
      </c>
      <c r="B304" s="43" t="s">
        <v>324</v>
      </c>
      <c r="C304" s="43" t="s">
        <v>19</v>
      </c>
      <c r="D304" s="43" t="s">
        <v>20</v>
      </c>
      <c r="E304" s="43" t="s">
        <v>56</v>
      </c>
      <c r="F304" s="47">
        <v>44450</v>
      </c>
      <c r="G304" s="43">
        <f t="shared" si="4"/>
        <v>2021</v>
      </c>
      <c r="H304" s="43">
        <v>5</v>
      </c>
      <c r="I304" s="48">
        <v>126000</v>
      </c>
      <c r="J304" s="44">
        <v>8</v>
      </c>
      <c r="K304" s="43" t="s">
        <v>16</v>
      </c>
      <c r="L304" s="43"/>
      <c r="M304" s="43"/>
    </row>
    <row r="305" spans="1:13">
      <c r="A305" s="43" t="s">
        <v>549</v>
      </c>
      <c r="B305" s="43" t="s">
        <v>541</v>
      </c>
      <c r="C305" s="43" t="s">
        <v>19</v>
      </c>
      <c r="D305" s="43" t="s">
        <v>20</v>
      </c>
      <c r="E305" s="43" t="s">
        <v>53</v>
      </c>
      <c r="F305" s="47">
        <v>45712</v>
      </c>
      <c r="G305" s="43">
        <f t="shared" si="4"/>
        <v>2025</v>
      </c>
      <c r="H305" s="43">
        <v>1.5</v>
      </c>
      <c r="I305" s="48">
        <v>81000</v>
      </c>
      <c r="J305" s="44">
        <v>5.4</v>
      </c>
      <c r="K305" s="43" t="s">
        <v>16</v>
      </c>
      <c r="L305" s="43"/>
      <c r="M305" s="43"/>
    </row>
    <row r="306" spans="1:13">
      <c r="A306" s="43" t="s">
        <v>550</v>
      </c>
      <c r="B306" s="43" t="s">
        <v>551</v>
      </c>
      <c r="C306" s="43" t="s">
        <v>13</v>
      </c>
      <c r="D306" s="43" t="s">
        <v>20</v>
      </c>
      <c r="E306" s="43" t="s">
        <v>21</v>
      </c>
      <c r="F306" s="47">
        <v>43104</v>
      </c>
      <c r="G306" s="43">
        <f t="shared" si="4"/>
        <v>2018</v>
      </c>
      <c r="H306" s="43">
        <v>8.6</v>
      </c>
      <c r="I306" s="48">
        <v>113000</v>
      </c>
      <c r="J306" s="44">
        <v>7.9</v>
      </c>
      <c r="K306" s="43" t="s">
        <v>16</v>
      </c>
      <c r="L306" s="43"/>
      <c r="M306" s="43"/>
    </row>
    <row r="307" spans="1:13">
      <c r="A307" s="43" t="s">
        <v>552</v>
      </c>
      <c r="B307" s="43" t="s">
        <v>553</v>
      </c>
      <c r="C307" s="43" t="s">
        <v>19</v>
      </c>
      <c r="D307" s="43" t="s">
        <v>20</v>
      </c>
      <c r="E307" s="43" t="s">
        <v>21</v>
      </c>
      <c r="F307" s="47">
        <v>43015</v>
      </c>
      <c r="G307" s="43">
        <f t="shared" si="4"/>
        <v>2017</v>
      </c>
      <c r="H307" s="43">
        <v>8.9</v>
      </c>
      <c r="I307" s="48">
        <v>130000</v>
      </c>
      <c r="J307" s="44">
        <v>8</v>
      </c>
      <c r="K307" s="43" t="s">
        <v>16</v>
      </c>
      <c r="L307" s="43"/>
      <c r="M307" s="43"/>
    </row>
    <row r="308" spans="1:13">
      <c r="A308" s="43" t="s">
        <v>554</v>
      </c>
      <c r="B308" s="43" t="s">
        <v>555</v>
      </c>
      <c r="C308" s="43" t="s">
        <v>13</v>
      </c>
      <c r="D308" s="43" t="s">
        <v>20</v>
      </c>
      <c r="E308" s="43" t="s">
        <v>15</v>
      </c>
      <c r="F308" s="47">
        <v>43625</v>
      </c>
      <c r="G308" s="43">
        <f t="shared" si="4"/>
        <v>2019</v>
      </c>
      <c r="H308" s="43">
        <v>7.2</v>
      </c>
      <c r="I308" s="48">
        <v>92000</v>
      </c>
      <c r="J308" s="44">
        <v>8.1</v>
      </c>
      <c r="K308" s="43" t="s">
        <v>16</v>
      </c>
      <c r="L308" s="43"/>
      <c r="M308" s="43"/>
    </row>
    <row r="309" spans="1:13">
      <c r="A309" s="43" t="s">
        <v>556</v>
      </c>
      <c r="B309" s="43" t="s">
        <v>303</v>
      </c>
      <c r="C309" s="43" t="s">
        <v>19</v>
      </c>
      <c r="D309" s="43" t="s">
        <v>42</v>
      </c>
      <c r="E309" s="43" t="s">
        <v>53</v>
      </c>
      <c r="F309" s="47">
        <v>45995</v>
      </c>
      <c r="G309" s="43">
        <f t="shared" si="4"/>
        <v>2025</v>
      </c>
      <c r="H309" s="43">
        <v>0.7</v>
      </c>
      <c r="I309" s="48">
        <v>76000</v>
      </c>
      <c r="J309" s="44">
        <v>6.6</v>
      </c>
      <c r="K309" s="43" t="s">
        <v>16</v>
      </c>
      <c r="L309" s="43"/>
      <c r="M309" s="43"/>
    </row>
    <row r="310" spans="1:13">
      <c r="A310" s="43" t="s">
        <v>557</v>
      </c>
      <c r="B310" s="43" t="s">
        <v>116</v>
      </c>
      <c r="C310" s="43" t="s">
        <v>19</v>
      </c>
      <c r="D310" s="43" t="s">
        <v>20</v>
      </c>
      <c r="E310" s="43" t="s">
        <v>21</v>
      </c>
      <c r="F310" s="47">
        <v>45955</v>
      </c>
      <c r="G310" s="43">
        <f t="shared" si="4"/>
        <v>2025</v>
      </c>
      <c r="H310" s="43">
        <v>0.8</v>
      </c>
      <c r="I310" s="48">
        <v>100000</v>
      </c>
      <c r="J310" s="44">
        <v>8.4</v>
      </c>
      <c r="K310" s="43" t="s">
        <v>16</v>
      </c>
      <c r="L310" s="43"/>
      <c r="M310" s="43"/>
    </row>
    <row r="311" spans="1:13">
      <c r="A311" s="43" t="s">
        <v>558</v>
      </c>
      <c r="B311" s="43" t="s">
        <v>559</v>
      </c>
      <c r="C311" s="43" t="s">
        <v>19</v>
      </c>
      <c r="D311" s="43" t="s">
        <v>59</v>
      </c>
      <c r="E311" s="43" t="s">
        <v>21</v>
      </c>
      <c r="F311" s="47">
        <v>45349</v>
      </c>
      <c r="G311" s="43">
        <f t="shared" si="4"/>
        <v>2024</v>
      </c>
      <c r="H311" s="43">
        <v>2.5</v>
      </c>
      <c r="I311" s="48">
        <v>90000</v>
      </c>
      <c r="J311" s="44">
        <v>7.3</v>
      </c>
      <c r="K311" s="43" t="s">
        <v>16</v>
      </c>
      <c r="L311" s="43"/>
      <c r="M311" s="43"/>
    </row>
    <row r="312" spans="1:13">
      <c r="A312" s="43" t="s">
        <v>560</v>
      </c>
      <c r="B312" s="43" t="s">
        <v>44</v>
      </c>
      <c r="C312" s="43" t="s">
        <v>13</v>
      </c>
      <c r="D312" s="43" t="s">
        <v>20</v>
      </c>
      <c r="E312" s="43" t="s">
        <v>53</v>
      </c>
      <c r="F312" s="47">
        <v>42741</v>
      </c>
      <c r="G312" s="43">
        <f t="shared" si="4"/>
        <v>2017</v>
      </c>
      <c r="H312" s="43">
        <v>9.6</v>
      </c>
      <c r="I312" s="48">
        <v>130000</v>
      </c>
      <c r="J312" s="44">
        <v>7.5</v>
      </c>
      <c r="K312" s="43" t="s">
        <v>16</v>
      </c>
      <c r="L312" s="43"/>
      <c r="M312" s="43"/>
    </row>
    <row r="313" spans="1:13">
      <c r="A313" s="43" t="s">
        <v>561</v>
      </c>
      <c r="B313" s="43" t="s">
        <v>337</v>
      </c>
      <c r="C313" s="43" t="s">
        <v>13</v>
      </c>
      <c r="D313" s="43" t="s">
        <v>59</v>
      </c>
      <c r="E313" s="43" t="s">
        <v>25</v>
      </c>
      <c r="F313" s="47">
        <v>45359</v>
      </c>
      <c r="G313" s="43">
        <f t="shared" si="4"/>
        <v>2024</v>
      </c>
      <c r="H313" s="43">
        <v>2.5</v>
      </c>
      <c r="I313" s="48">
        <v>94000</v>
      </c>
      <c r="J313" s="44">
        <v>7.2</v>
      </c>
      <c r="K313" s="43" t="s">
        <v>16</v>
      </c>
      <c r="L313" s="43"/>
      <c r="M313" s="43"/>
    </row>
    <row r="314" spans="1:13">
      <c r="A314" s="43" t="s">
        <v>562</v>
      </c>
      <c r="B314" s="43" t="s">
        <v>527</v>
      </c>
      <c r="C314" s="43" t="s">
        <v>19</v>
      </c>
      <c r="D314" s="43" t="s">
        <v>20</v>
      </c>
      <c r="E314" s="43" t="s">
        <v>21</v>
      </c>
      <c r="F314" s="47">
        <v>43039</v>
      </c>
      <c r="G314" s="43">
        <f t="shared" si="4"/>
        <v>2017</v>
      </c>
      <c r="H314" s="43">
        <v>8.8</v>
      </c>
      <c r="I314" s="48">
        <v>134000</v>
      </c>
      <c r="J314" s="44">
        <v>8.2</v>
      </c>
      <c r="K314" s="43" t="s">
        <v>16</v>
      </c>
      <c r="L314" s="43"/>
      <c r="M314" s="43"/>
    </row>
    <row r="315" spans="1:13">
      <c r="A315" s="43" t="s">
        <v>563</v>
      </c>
      <c r="B315" s="43" t="s">
        <v>345</v>
      </c>
      <c r="C315" s="43" t="s">
        <v>19</v>
      </c>
      <c r="D315" s="43" t="s">
        <v>24</v>
      </c>
      <c r="E315" s="43" t="s">
        <v>56</v>
      </c>
      <c r="F315" s="47">
        <v>45787</v>
      </c>
      <c r="G315" s="43">
        <f t="shared" si="4"/>
        <v>2025</v>
      </c>
      <c r="H315" s="43">
        <v>1.3</v>
      </c>
      <c r="I315" s="48">
        <v>93000</v>
      </c>
      <c r="J315" s="44">
        <v>8.5</v>
      </c>
      <c r="K315" s="43" t="s">
        <v>16</v>
      </c>
      <c r="L315" s="43"/>
      <c r="M315" s="43"/>
    </row>
    <row r="316" spans="1:13">
      <c r="A316" s="43" t="s">
        <v>564</v>
      </c>
      <c r="B316" s="43" t="s">
        <v>243</v>
      </c>
      <c r="C316" s="43" t="s">
        <v>19</v>
      </c>
      <c r="D316" s="43" t="s">
        <v>24</v>
      </c>
      <c r="E316" s="43" t="s">
        <v>56</v>
      </c>
      <c r="F316" s="47">
        <v>42353</v>
      </c>
      <c r="G316" s="43">
        <f t="shared" si="4"/>
        <v>2015</v>
      </c>
      <c r="H316" s="43">
        <v>10.7</v>
      </c>
      <c r="I316" s="48">
        <v>53000</v>
      </c>
      <c r="J316" s="44">
        <v>7.7</v>
      </c>
      <c r="K316" s="43" t="s">
        <v>16</v>
      </c>
      <c r="L316" s="43"/>
      <c r="M316" s="43"/>
    </row>
    <row r="317" spans="1:13">
      <c r="A317" s="43" t="s">
        <v>565</v>
      </c>
      <c r="B317" s="43" t="s">
        <v>566</v>
      </c>
      <c r="C317" s="43" t="s">
        <v>13</v>
      </c>
      <c r="D317" s="43" t="s">
        <v>68</v>
      </c>
      <c r="E317" s="43" t="s">
        <v>21</v>
      </c>
      <c r="F317" s="47">
        <v>45087</v>
      </c>
      <c r="G317" s="43">
        <f t="shared" si="4"/>
        <v>2023</v>
      </c>
      <c r="H317" s="43">
        <v>3.2</v>
      </c>
      <c r="I317" s="48">
        <v>80000</v>
      </c>
      <c r="J317" s="44">
        <v>5.9</v>
      </c>
      <c r="K317" s="43" t="s">
        <v>92</v>
      </c>
      <c r="L317" s="43"/>
      <c r="M317" s="43"/>
    </row>
    <row r="318" spans="1:13">
      <c r="A318" s="43" t="s">
        <v>567</v>
      </c>
      <c r="B318" s="43" t="s">
        <v>324</v>
      </c>
      <c r="C318" s="43" t="s">
        <v>19</v>
      </c>
      <c r="D318" s="43" t="s">
        <v>20</v>
      </c>
      <c r="E318" s="43" t="s">
        <v>21</v>
      </c>
      <c r="F318" s="47">
        <v>45064</v>
      </c>
      <c r="G318" s="43">
        <f t="shared" si="4"/>
        <v>2023</v>
      </c>
      <c r="H318" s="43">
        <v>3.3</v>
      </c>
      <c r="I318" s="48">
        <v>116000</v>
      </c>
      <c r="J318" s="44">
        <v>5.9</v>
      </c>
      <c r="K318" s="43" t="s">
        <v>16</v>
      </c>
      <c r="L318" s="43"/>
      <c r="M318" s="43"/>
    </row>
    <row r="319" spans="1:13">
      <c r="A319" s="43" t="s">
        <v>568</v>
      </c>
      <c r="B319" s="43" t="s">
        <v>203</v>
      </c>
      <c r="C319" s="43" t="s">
        <v>19</v>
      </c>
      <c r="D319" s="43" t="s">
        <v>42</v>
      </c>
      <c r="E319" s="43" t="s">
        <v>56</v>
      </c>
      <c r="F319" s="47">
        <v>44054</v>
      </c>
      <c r="G319" s="43">
        <f t="shared" si="4"/>
        <v>2020</v>
      </c>
      <c r="H319" s="43">
        <v>6</v>
      </c>
      <c r="I319" s="48">
        <v>47000</v>
      </c>
      <c r="J319" s="44">
        <v>6.9</v>
      </c>
      <c r="K319" s="43" t="s">
        <v>16</v>
      </c>
      <c r="L319" s="43"/>
      <c r="M319" s="43"/>
    </row>
    <row r="320" spans="1:13">
      <c r="A320" s="43" t="s">
        <v>569</v>
      </c>
      <c r="B320" s="43" t="s">
        <v>570</v>
      </c>
      <c r="C320" s="43" t="s">
        <v>13</v>
      </c>
      <c r="D320" s="43" t="s">
        <v>59</v>
      </c>
      <c r="E320" s="43" t="s">
        <v>53</v>
      </c>
      <c r="F320" s="47">
        <v>42356</v>
      </c>
      <c r="G320" s="43">
        <f t="shared" si="4"/>
        <v>2015</v>
      </c>
      <c r="H320" s="43">
        <v>10.7</v>
      </c>
      <c r="I320" s="48">
        <v>47000</v>
      </c>
      <c r="J320" s="44">
        <v>8.4</v>
      </c>
      <c r="K320" s="43" t="s">
        <v>16</v>
      </c>
      <c r="L320" s="43"/>
      <c r="M320" s="43"/>
    </row>
    <row r="321" spans="1:13">
      <c r="A321" s="43" t="s">
        <v>571</v>
      </c>
      <c r="B321" s="43" t="s">
        <v>337</v>
      </c>
      <c r="C321" s="43" t="s">
        <v>19</v>
      </c>
      <c r="D321" s="43" t="s">
        <v>20</v>
      </c>
      <c r="E321" s="43" t="s">
        <v>56</v>
      </c>
      <c r="F321" s="47">
        <v>43955</v>
      </c>
      <c r="G321" s="43">
        <f t="shared" si="4"/>
        <v>2020</v>
      </c>
      <c r="H321" s="43">
        <v>6.3</v>
      </c>
      <c r="I321" s="48">
        <v>62000</v>
      </c>
      <c r="J321" s="44">
        <v>5.9</v>
      </c>
      <c r="K321" s="43" t="s">
        <v>16</v>
      </c>
      <c r="L321" s="43"/>
      <c r="M321" s="43"/>
    </row>
    <row r="322" spans="1:13">
      <c r="A322" s="43" t="s">
        <v>572</v>
      </c>
      <c r="B322" s="43" t="s">
        <v>351</v>
      </c>
      <c r="C322" s="43" t="s">
        <v>19</v>
      </c>
      <c r="D322" s="43" t="s">
        <v>59</v>
      </c>
      <c r="E322" s="43" t="s">
        <v>25</v>
      </c>
      <c r="F322" s="47">
        <v>42476</v>
      </c>
      <c r="G322" s="43">
        <f t="shared" si="4"/>
        <v>2016</v>
      </c>
      <c r="H322" s="43">
        <v>10.4</v>
      </c>
      <c r="I322" s="48">
        <v>41000</v>
      </c>
      <c r="J322" s="44">
        <v>8.4</v>
      </c>
      <c r="K322" s="43" t="s">
        <v>16</v>
      </c>
      <c r="L322" s="43"/>
      <c r="M322" s="43"/>
    </row>
    <row r="323" spans="1:13">
      <c r="A323" s="43" t="s">
        <v>573</v>
      </c>
      <c r="B323" s="43" t="s">
        <v>574</v>
      </c>
      <c r="C323" s="43" t="s">
        <v>13</v>
      </c>
      <c r="D323" s="43" t="s">
        <v>59</v>
      </c>
      <c r="E323" s="43" t="s">
        <v>15</v>
      </c>
      <c r="F323" s="47">
        <v>42660</v>
      </c>
      <c r="G323" s="43">
        <f t="shared" ref="G323:G386" si="5">YEAR(F323)</f>
        <v>2016</v>
      </c>
      <c r="H323" s="43">
        <v>9.9</v>
      </c>
      <c r="I323" s="48">
        <v>61000</v>
      </c>
      <c r="J323" s="44">
        <v>6.2</v>
      </c>
      <c r="K323" s="43" t="s">
        <v>16</v>
      </c>
      <c r="L323" s="43"/>
      <c r="M323" s="43"/>
    </row>
    <row r="324" spans="1:13">
      <c r="A324" s="43" t="s">
        <v>575</v>
      </c>
      <c r="B324" s="43" t="s">
        <v>576</v>
      </c>
      <c r="C324" s="43" t="s">
        <v>19</v>
      </c>
      <c r="D324" s="43" t="s">
        <v>28</v>
      </c>
      <c r="E324" s="43" t="s">
        <v>15</v>
      </c>
      <c r="F324" s="47">
        <v>44628</v>
      </c>
      <c r="G324" s="43">
        <f t="shared" si="5"/>
        <v>2022</v>
      </c>
      <c r="H324" s="43">
        <v>4.5</v>
      </c>
      <c r="I324" s="48">
        <v>100000</v>
      </c>
      <c r="J324" s="44">
        <v>6.1</v>
      </c>
      <c r="K324" s="43" t="s">
        <v>92</v>
      </c>
      <c r="L324" s="43"/>
      <c r="M324" s="43"/>
    </row>
    <row r="325" spans="1:13">
      <c r="A325" s="43" t="s">
        <v>577</v>
      </c>
      <c r="B325" s="43" t="s">
        <v>327</v>
      </c>
      <c r="C325" s="43" t="s">
        <v>19</v>
      </c>
      <c r="D325" s="43" t="s">
        <v>28</v>
      </c>
      <c r="E325" s="43" t="s">
        <v>25</v>
      </c>
      <c r="F325" s="47">
        <v>42847</v>
      </c>
      <c r="G325" s="43">
        <f t="shared" si="5"/>
        <v>2017</v>
      </c>
      <c r="H325" s="43">
        <v>9.3</v>
      </c>
      <c r="I325" s="48">
        <v>80000</v>
      </c>
      <c r="J325" s="44">
        <v>8.6</v>
      </c>
      <c r="K325" s="43" t="s">
        <v>16</v>
      </c>
      <c r="L325" s="43"/>
      <c r="M325" s="43"/>
    </row>
    <row r="326" spans="1:13">
      <c r="A326" s="43" t="s">
        <v>578</v>
      </c>
      <c r="B326" s="43" t="s">
        <v>579</v>
      </c>
      <c r="C326" s="43" t="s">
        <v>13</v>
      </c>
      <c r="D326" s="43" t="s">
        <v>42</v>
      </c>
      <c r="E326" s="43" t="s">
        <v>56</v>
      </c>
      <c r="F326" s="47">
        <v>43503</v>
      </c>
      <c r="G326" s="43">
        <f t="shared" si="5"/>
        <v>2019</v>
      </c>
      <c r="H326" s="43">
        <v>7.5</v>
      </c>
      <c r="I326" s="48">
        <v>58000</v>
      </c>
      <c r="J326" s="44">
        <v>7.7</v>
      </c>
      <c r="K326" s="43" t="s">
        <v>16</v>
      </c>
      <c r="L326" s="43"/>
      <c r="M326" s="43"/>
    </row>
    <row r="327" spans="1:13">
      <c r="A327" s="43" t="s">
        <v>580</v>
      </c>
      <c r="B327" s="43" t="s">
        <v>415</v>
      </c>
      <c r="C327" s="43" t="s">
        <v>19</v>
      </c>
      <c r="D327" s="43" t="s">
        <v>59</v>
      </c>
      <c r="E327" s="43" t="s">
        <v>21</v>
      </c>
      <c r="F327" s="47">
        <v>43612</v>
      </c>
      <c r="G327" s="43">
        <f t="shared" si="5"/>
        <v>2019</v>
      </c>
      <c r="H327" s="43">
        <v>7.2</v>
      </c>
      <c r="I327" s="48">
        <v>77000</v>
      </c>
      <c r="J327" s="44">
        <v>8</v>
      </c>
      <c r="K327" s="43" t="s">
        <v>16</v>
      </c>
      <c r="L327" s="43"/>
      <c r="M327" s="43"/>
    </row>
    <row r="328" spans="1:13">
      <c r="A328" s="43" t="s">
        <v>581</v>
      </c>
      <c r="B328" s="43" t="s">
        <v>582</v>
      </c>
      <c r="C328" s="43" t="s">
        <v>19</v>
      </c>
      <c r="D328" s="43" t="s">
        <v>68</v>
      </c>
      <c r="E328" s="43" t="s">
        <v>25</v>
      </c>
      <c r="F328" s="47">
        <v>44896</v>
      </c>
      <c r="G328" s="43">
        <f t="shared" si="5"/>
        <v>2022</v>
      </c>
      <c r="H328" s="43">
        <v>3.7</v>
      </c>
      <c r="I328" s="48">
        <v>76000</v>
      </c>
      <c r="J328" s="44">
        <v>8.8</v>
      </c>
      <c r="K328" s="43" t="s">
        <v>16</v>
      </c>
      <c r="L328" s="43"/>
      <c r="M328" s="43"/>
    </row>
    <row r="329" spans="1:13">
      <c r="A329" s="43" t="s">
        <v>583</v>
      </c>
      <c r="B329" s="43" t="s">
        <v>584</v>
      </c>
      <c r="C329" s="43" t="s">
        <v>19</v>
      </c>
      <c r="D329" s="43" t="s">
        <v>59</v>
      </c>
      <c r="E329" s="43" t="s">
        <v>15</v>
      </c>
      <c r="F329" s="47">
        <v>44845</v>
      </c>
      <c r="G329" s="43">
        <f t="shared" si="5"/>
        <v>2022</v>
      </c>
      <c r="H329" s="43">
        <v>3.9</v>
      </c>
      <c r="I329" s="48">
        <v>49000</v>
      </c>
      <c r="J329" s="44">
        <v>6.8</v>
      </c>
      <c r="K329" s="43" t="s">
        <v>16</v>
      </c>
      <c r="L329" s="43"/>
      <c r="M329" s="43"/>
    </row>
    <row r="330" spans="1:13">
      <c r="A330" s="43" t="s">
        <v>585</v>
      </c>
      <c r="B330" s="43" t="s">
        <v>397</v>
      </c>
      <c r="C330" s="43" t="s">
        <v>19</v>
      </c>
      <c r="D330" s="43" t="s">
        <v>24</v>
      </c>
      <c r="E330" s="43" t="s">
        <v>56</v>
      </c>
      <c r="F330" s="47">
        <v>43998</v>
      </c>
      <c r="G330" s="43">
        <f t="shared" si="5"/>
        <v>2020</v>
      </c>
      <c r="H330" s="43">
        <v>6.2</v>
      </c>
      <c r="I330" s="48">
        <v>108000</v>
      </c>
      <c r="J330" s="44">
        <v>6.9</v>
      </c>
      <c r="K330" s="43" t="s">
        <v>92</v>
      </c>
      <c r="L330" s="43"/>
      <c r="M330" s="43"/>
    </row>
    <row r="331" spans="1:13">
      <c r="A331" s="43" t="s">
        <v>586</v>
      </c>
      <c r="B331" s="43" t="s">
        <v>587</v>
      </c>
      <c r="C331" s="43" t="s">
        <v>13</v>
      </c>
      <c r="D331" s="43" t="s">
        <v>20</v>
      </c>
      <c r="E331" s="43" t="s">
        <v>21</v>
      </c>
      <c r="F331" s="47">
        <v>43852</v>
      </c>
      <c r="G331" s="43">
        <f t="shared" si="5"/>
        <v>2020</v>
      </c>
      <c r="H331" s="43">
        <v>6.6</v>
      </c>
      <c r="I331" s="48">
        <v>129000</v>
      </c>
      <c r="J331" s="44">
        <v>6</v>
      </c>
      <c r="K331" s="43" t="s">
        <v>16</v>
      </c>
      <c r="L331" s="43"/>
      <c r="M331" s="43"/>
    </row>
    <row r="332" spans="1:13">
      <c r="A332" s="43" t="s">
        <v>588</v>
      </c>
      <c r="B332" s="43" t="s">
        <v>98</v>
      </c>
      <c r="C332" s="43" t="s">
        <v>19</v>
      </c>
      <c r="D332" s="43" t="s">
        <v>20</v>
      </c>
      <c r="E332" s="43" t="s">
        <v>25</v>
      </c>
      <c r="F332" s="47">
        <v>45952</v>
      </c>
      <c r="G332" s="43">
        <f t="shared" si="5"/>
        <v>2025</v>
      </c>
      <c r="H332" s="43">
        <v>0.8</v>
      </c>
      <c r="I332" s="48">
        <v>121000</v>
      </c>
      <c r="J332" s="44">
        <v>6.2</v>
      </c>
      <c r="K332" s="43" t="s">
        <v>16</v>
      </c>
      <c r="L332" s="43"/>
      <c r="M332" s="43"/>
    </row>
    <row r="333" spans="1:13">
      <c r="A333" s="43" t="s">
        <v>589</v>
      </c>
      <c r="B333" s="43" t="s">
        <v>590</v>
      </c>
      <c r="C333" s="43" t="s">
        <v>19</v>
      </c>
      <c r="D333" s="43" t="s">
        <v>28</v>
      </c>
      <c r="E333" s="43" t="s">
        <v>15</v>
      </c>
      <c r="F333" s="47">
        <v>44320</v>
      </c>
      <c r="G333" s="43">
        <f t="shared" si="5"/>
        <v>2021</v>
      </c>
      <c r="H333" s="43">
        <v>5.3</v>
      </c>
      <c r="I333" s="48">
        <v>48000</v>
      </c>
      <c r="J333" s="44">
        <v>7.5</v>
      </c>
      <c r="K333" s="43" t="s">
        <v>16</v>
      </c>
      <c r="L333" s="43"/>
      <c r="M333" s="43"/>
    </row>
    <row r="334" spans="1:13">
      <c r="A334" s="43" t="s">
        <v>591</v>
      </c>
      <c r="B334" s="43" t="s">
        <v>592</v>
      </c>
      <c r="C334" s="43" t="s">
        <v>13</v>
      </c>
      <c r="D334" s="43" t="s">
        <v>59</v>
      </c>
      <c r="E334" s="43" t="s">
        <v>56</v>
      </c>
      <c r="F334" s="47">
        <v>42693</v>
      </c>
      <c r="G334" s="43">
        <f t="shared" si="5"/>
        <v>2016</v>
      </c>
      <c r="H334" s="43">
        <v>9.8</v>
      </c>
      <c r="I334" s="48">
        <v>89000</v>
      </c>
      <c r="J334" s="44">
        <v>5.8</v>
      </c>
      <c r="K334" s="43" t="s">
        <v>16</v>
      </c>
      <c r="L334" s="43"/>
      <c r="M334" s="43"/>
    </row>
    <row r="335" spans="1:13">
      <c r="A335" s="43" t="s">
        <v>593</v>
      </c>
      <c r="B335" s="43" t="s">
        <v>579</v>
      </c>
      <c r="C335" s="43" t="s">
        <v>13</v>
      </c>
      <c r="D335" s="43" t="s">
        <v>59</v>
      </c>
      <c r="E335" s="43" t="s">
        <v>56</v>
      </c>
      <c r="F335" s="47">
        <v>43507</v>
      </c>
      <c r="G335" s="43">
        <f t="shared" si="5"/>
        <v>2019</v>
      </c>
      <c r="H335" s="43">
        <v>7.5</v>
      </c>
      <c r="I335" s="48">
        <v>74000</v>
      </c>
      <c r="J335" s="44">
        <v>8</v>
      </c>
      <c r="K335" s="43" t="s">
        <v>16</v>
      </c>
      <c r="L335" s="43"/>
      <c r="M335" s="43"/>
    </row>
    <row r="336" spans="1:13">
      <c r="A336" s="43" t="s">
        <v>594</v>
      </c>
      <c r="B336" s="43" t="s">
        <v>595</v>
      </c>
      <c r="C336" s="43" t="s">
        <v>13</v>
      </c>
      <c r="D336" s="43" t="s">
        <v>28</v>
      </c>
      <c r="E336" s="43" t="s">
        <v>15</v>
      </c>
      <c r="F336" s="47">
        <v>43746</v>
      </c>
      <c r="G336" s="43">
        <f t="shared" si="5"/>
        <v>2019</v>
      </c>
      <c r="H336" s="43">
        <v>6.9</v>
      </c>
      <c r="I336" s="48">
        <v>58000</v>
      </c>
      <c r="J336" s="44">
        <v>7.4</v>
      </c>
      <c r="K336" s="43" t="s">
        <v>16</v>
      </c>
      <c r="L336" s="43"/>
      <c r="M336" s="43"/>
    </row>
    <row r="337" spans="1:13">
      <c r="A337" s="43" t="s">
        <v>596</v>
      </c>
      <c r="B337" s="43" t="s">
        <v>597</v>
      </c>
      <c r="C337" s="43" t="s">
        <v>13</v>
      </c>
      <c r="D337" s="43" t="s">
        <v>28</v>
      </c>
      <c r="E337" s="43" t="s">
        <v>25</v>
      </c>
      <c r="F337" s="47">
        <v>43803</v>
      </c>
      <c r="G337" s="43">
        <f t="shared" si="5"/>
        <v>2019</v>
      </c>
      <c r="H337" s="43">
        <v>6.7</v>
      </c>
      <c r="I337" s="48">
        <v>60000</v>
      </c>
      <c r="J337" s="44">
        <v>5.9</v>
      </c>
      <c r="K337" s="43" t="s">
        <v>16</v>
      </c>
      <c r="L337" s="43"/>
      <c r="M337" s="43"/>
    </row>
    <row r="338" spans="1:13">
      <c r="A338" s="43" t="s">
        <v>598</v>
      </c>
      <c r="B338" s="43" t="s">
        <v>599</v>
      </c>
      <c r="C338" s="43" t="s">
        <v>13</v>
      </c>
      <c r="D338" s="43" t="s">
        <v>68</v>
      </c>
      <c r="E338" s="43" t="s">
        <v>25</v>
      </c>
      <c r="F338" s="47">
        <v>45531</v>
      </c>
      <c r="G338" s="43">
        <f t="shared" si="5"/>
        <v>2024</v>
      </c>
      <c r="H338" s="43">
        <v>2</v>
      </c>
      <c r="I338" s="48">
        <v>92000</v>
      </c>
      <c r="J338" s="44">
        <v>7.8</v>
      </c>
      <c r="K338" s="43" t="s">
        <v>16</v>
      </c>
      <c r="L338" s="43"/>
      <c r="M338" s="43"/>
    </row>
    <row r="339" spans="1:13">
      <c r="A339" s="43" t="s">
        <v>600</v>
      </c>
      <c r="B339" s="43" t="s">
        <v>601</v>
      </c>
      <c r="C339" s="43" t="s">
        <v>13</v>
      </c>
      <c r="D339" s="43" t="s">
        <v>24</v>
      </c>
      <c r="E339" s="43" t="s">
        <v>56</v>
      </c>
      <c r="F339" s="47">
        <v>44449</v>
      </c>
      <c r="G339" s="43">
        <f t="shared" si="5"/>
        <v>2021</v>
      </c>
      <c r="H339" s="43">
        <v>5</v>
      </c>
      <c r="I339" s="48">
        <v>108000</v>
      </c>
      <c r="J339" s="44">
        <v>8</v>
      </c>
      <c r="K339" s="43" t="s">
        <v>16</v>
      </c>
      <c r="L339" s="43"/>
      <c r="M339" s="43"/>
    </row>
    <row r="340" spans="1:13">
      <c r="A340" s="43" t="s">
        <v>602</v>
      </c>
      <c r="B340" s="43" t="s">
        <v>603</v>
      </c>
      <c r="C340" s="43" t="s">
        <v>19</v>
      </c>
      <c r="D340" s="43" t="s">
        <v>59</v>
      </c>
      <c r="E340" s="43" t="s">
        <v>53</v>
      </c>
      <c r="F340" s="47">
        <v>45692</v>
      </c>
      <c r="G340" s="43">
        <f t="shared" si="5"/>
        <v>2025</v>
      </c>
      <c r="H340" s="43">
        <v>1.6</v>
      </c>
      <c r="I340" s="48">
        <v>83000</v>
      </c>
      <c r="J340" s="44">
        <v>7.7</v>
      </c>
      <c r="K340" s="43" t="s">
        <v>16</v>
      </c>
      <c r="L340" s="43"/>
      <c r="M340" s="43"/>
    </row>
    <row r="341" spans="1:13">
      <c r="A341" s="43" t="s">
        <v>604</v>
      </c>
      <c r="B341" s="43" t="s">
        <v>605</v>
      </c>
      <c r="C341" s="43" t="s">
        <v>19</v>
      </c>
      <c r="D341" s="43" t="s">
        <v>31</v>
      </c>
      <c r="E341" s="43" t="s">
        <v>53</v>
      </c>
      <c r="F341" s="47">
        <v>42524</v>
      </c>
      <c r="G341" s="43">
        <f t="shared" si="5"/>
        <v>2016</v>
      </c>
      <c r="H341" s="43">
        <v>10.2</v>
      </c>
      <c r="I341" s="48">
        <v>76000</v>
      </c>
      <c r="J341" s="44">
        <v>7</v>
      </c>
      <c r="K341" s="43" t="s">
        <v>16</v>
      </c>
      <c r="L341" s="43"/>
      <c r="M341" s="43"/>
    </row>
    <row r="342" spans="1:13">
      <c r="A342" s="43" t="s">
        <v>606</v>
      </c>
      <c r="B342" s="43" t="s">
        <v>607</v>
      </c>
      <c r="C342" s="43" t="s">
        <v>13</v>
      </c>
      <c r="D342" s="43" t="s">
        <v>59</v>
      </c>
      <c r="E342" s="43" t="s">
        <v>21</v>
      </c>
      <c r="F342" s="47">
        <v>45460</v>
      </c>
      <c r="G342" s="43">
        <f t="shared" si="5"/>
        <v>2024</v>
      </c>
      <c r="H342" s="43">
        <v>2.2</v>
      </c>
      <c r="I342" s="48">
        <v>83000</v>
      </c>
      <c r="J342" s="44">
        <v>7</v>
      </c>
      <c r="K342" s="43" t="s">
        <v>16</v>
      </c>
      <c r="L342" s="43"/>
      <c r="M342" s="43"/>
    </row>
    <row r="343" spans="1:13">
      <c r="A343" s="43" t="s">
        <v>608</v>
      </c>
      <c r="B343" s="43" t="s">
        <v>203</v>
      </c>
      <c r="C343" s="43" t="s">
        <v>19</v>
      </c>
      <c r="D343" s="43" t="s">
        <v>20</v>
      </c>
      <c r="E343" s="43" t="s">
        <v>25</v>
      </c>
      <c r="F343" s="47">
        <v>45154</v>
      </c>
      <c r="G343" s="43">
        <f t="shared" si="5"/>
        <v>2023</v>
      </c>
      <c r="H343" s="43">
        <v>3</v>
      </c>
      <c r="I343" s="48">
        <v>61000</v>
      </c>
      <c r="J343" s="44">
        <v>7.9</v>
      </c>
      <c r="K343" s="43" t="s">
        <v>16</v>
      </c>
      <c r="L343" s="43"/>
      <c r="M343" s="43"/>
    </row>
    <row r="344" spans="1:13">
      <c r="A344" s="43" t="s">
        <v>609</v>
      </c>
      <c r="B344" s="43" t="s">
        <v>106</v>
      </c>
      <c r="C344" s="43" t="s">
        <v>19</v>
      </c>
      <c r="D344" s="43" t="s">
        <v>28</v>
      </c>
      <c r="E344" s="43" t="s">
        <v>56</v>
      </c>
      <c r="F344" s="47">
        <v>44388</v>
      </c>
      <c r="G344" s="43">
        <f t="shared" si="5"/>
        <v>2021</v>
      </c>
      <c r="H344" s="43">
        <v>5.1</v>
      </c>
      <c r="I344" s="48">
        <v>45000</v>
      </c>
      <c r="J344" s="44">
        <v>8.9</v>
      </c>
      <c r="K344" s="43" t="s">
        <v>16</v>
      </c>
      <c r="L344" s="43"/>
      <c r="M344" s="43"/>
    </row>
    <row r="345" spans="1:13">
      <c r="A345" s="43" t="s">
        <v>610</v>
      </c>
      <c r="B345" s="43" t="s">
        <v>355</v>
      </c>
      <c r="C345" s="43" t="s">
        <v>19</v>
      </c>
      <c r="D345" s="43" t="s">
        <v>68</v>
      </c>
      <c r="E345" s="43" t="s">
        <v>53</v>
      </c>
      <c r="F345" s="47">
        <v>45264</v>
      </c>
      <c r="G345" s="43">
        <f t="shared" si="5"/>
        <v>2023</v>
      </c>
      <c r="H345" s="43">
        <v>2.7</v>
      </c>
      <c r="I345" s="48">
        <v>106000</v>
      </c>
      <c r="J345" s="44">
        <v>5.9</v>
      </c>
      <c r="K345" s="43" t="s">
        <v>16</v>
      </c>
      <c r="L345" s="43"/>
      <c r="M345" s="43"/>
    </row>
    <row r="346" spans="1:13">
      <c r="A346" s="43" t="s">
        <v>611</v>
      </c>
      <c r="B346" s="43" t="s">
        <v>197</v>
      </c>
      <c r="C346" s="43" t="s">
        <v>19</v>
      </c>
      <c r="D346" s="43" t="s">
        <v>24</v>
      </c>
      <c r="E346" s="43" t="s">
        <v>21</v>
      </c>
      <c r="F346" s="47">
        <v>43166</v>
      </c>
      <c r="G346" s="43">
        <f t="shared" si="5"/>
        <v>2018</v>
      </c>
      <c r="H346" s="43">
        <v>8.5</v>
      </c>
      <c r="I346" s="48">
        <v>83000</v>
      </c>
      <c r="J346" s="44">
        <v>6.9</v>
      </c>
      <c r="K346" s="43" t="s">
        <v>16</v>
      </c>
      <c r="L346" s="43"/>
      <c r="M346" s="43"/>
    </row>
    <row r="347" spans="1:13">
      <c r="A347" s="43" t="s">
        <v>612</v>
      </c>
      <c r="B347" s="43" t="s">
        <v>613</v>
      </c>
      <c r="C347" s="43" t="s">
        <v>19</v>
      </c>
      <c r="D347" s="43" t="s">
        <v>42</v>
      </c>
      <c r="E347" s="43" t="s">
        <v>15</v>
      </c>
      <c r="F347" s="47">
        <v>44569</v>
      </c>
      <c r="G347" s="43">
        <f t="shared" si="5"/>
        <v>2022</v>
      </c>
      <c r="H347" s="43">
        <v>4.6</v>
      </c>
      <c r="I347" s="48">
        <v>88000</v>
      </c>
      <c r="J347" s="44">
        <v>7.3</v>
      </c>
      <c r="K347" s="43" t="s">
        <v>16</v>
      </c>
      <c r="L347" s="43"/>
      <c r="M347" s="43"/>
    </row>
    <row r="348" spans="1:13">
      <c r="A348" s="43" t="s">
        <v>614</v>
      </c>
      <c r="B348" s="43" t="s">
        <v>615</v>
      </c>
      <c r="C348" s="43" t="s">
        <v>13</v>
      </c>
      <c r="D348" s="43" t="s">
        <v>20</v>
      </c>
      <c r="E348" s="43" t="s">
        <v>56</v>
      </c>
      <c r="F348" s="47">
        <v>45929</v>
      </c>
      <c r="G348" s="43">
        <f t="shared" si="5"/>
        <v>2025</v>
      </c>
      <c r="H348" s="43">
        <v>0.9</v>
      </c>
      <c r="I348" s="48">
        <v>104000</v>
      </c>
      <c r="J348" s="44">
        <v>8</v>
      </c>
      <c r="K348" s="43" t="s">
        <v>16</v>
      </c>
      <c r="L348" s="43"/>
      <c r="M348" s="43"/>
    </row>
    <row r="349" spans="1:13">
      <c r="A349" s="43" t="s">
        <v>616</v>
      </c>
      <c r="B349" s="43" t="s">
        <v>537</v>
      </c>
      <c r="C349" s="43" t="s">
        <v>19</v>
      </c>
      <c r="D349" s="43" t="s">
        <v>31</v>
      </c>
      <c r="E349" s="43" t="s">
        <v>21</v>
      </c>
      <c r="F349" s="47">
        <v>44686</v>
      </c>
      <c r="G349" s="43">
        <f t="shared" si="5"/>
        <v>2022</v>
      </c>
      <c r="H349" s="43">
        <v>4.3</v>
      </c>
      <c r="I349" s="48">
        <v>55000</v>
      </c>
      <c r="J349" s="44">
        <v>9.1</v>
      </c>
      <c r="K349" s="43" t="s">
        <v>16</v>
      </c>
      <c r="L349" s="43"/>
      <c r="M349" s="43"/>
    </row>
    <row r="350" spans="1:13">
      <c r="A350" s="43" t="s">
        <v>617</v>
      </c>
      <c r="B350" s="43" t="s">
        <v>618</v>
      </c>
      <c r="C350" s="43" t="s">
        <v>19</v>
      </c>
      <c r="D350" s="43" t="s">
        <v>20</v>
      </c>
      <c r="E350" s="43" t="s">
        <v>21</v>
      </c>
      <c r="F350" s="47">
        <v>43256</v>
      </c>
      <c r="G350" s="43">
        <f t="shared" si="5"/>
        <v>2018</v>
      </c>
      <c r="H350" s="43">
        <v>8.2</v>
      </c>
      <c r="I350" s="48">
        <v>120000</v>
      </c>
      <c r="J350" s="44">
        <v>7.5</v>
      </c>
      <c r="K350" s="43" t="s">
        <v>16</v>
      </c>
      <c r="L350" s="43"/>
      <c r="M350" s="43"/>
    </row>
    <row r="351" spans="1:13">
      <c r="A351" s="43" t="s">
        <v>619</v>
      </c>
      <c r="B351" s="43" t="s">
        <v>322</v>
      </c>
      <c r="C351" s="43" t="s">
        <v>13</v>
      </c>
      <c r="D351" s="43" t="s">
        <v>24</v>
      </c>
      <c r="E351" s="43" t="s">
        <v>15</v>
      </c>
      <c r="F351" s="47">
        <v>42931</v>
      </c>
      <c r="G351" s="43">
        <f t="shared" si="5"/>
        <v>2017</v>
      </c>
      <c r="H351" s="43">
        <v>9.1</v>
      </c>
      <c r="I351" s="48">
        <v>106000</v>
      </c>
      <c r="J351" s="44">
        <v>6.3</v>
      </c>
      <c r="K351" s="43" t="s">
        <v>16</v>
      </c>
      <c r="L351" s="43"/>
      <c r="M351" s="43"/>
    </row>
    <row r="352" spans="1:13">
      <c r="A352" s="43" t="s">
        <v>620</v>
      </c>
      <c r="B352" s="43" t="s">
        <v>621</v>
      </c>
      <c r="C352" s="43" t="s">
        <v>13</v>
      </c>
      <c r="D352" s="43" t="s">
        <v>28</v>
      </c>
      <c r="E352" s="43" t="s">
        <v>15</v>
      </c>
      <c r="F352" s="47">
        <v>45528</v>
      </c>
      <c r="G352" s="43">
        <f t="shared" si="5"/>
        <v>2024</v>
      </c>
      <c r="H352" s="43">
        <v>2</v>
      </c>
      <c r="I352" s="48">
        <v>99000</v>
      </c>
      <c r="J352" s="44">
        <v>7.1</v>
      </c>
      <c r="K352" s="43" t="s">
        <v>16</v>
      </c>
      <c r="L352" s="43"/>
      <c r="M352" s="43"/>
    </row>
    <row r="353" spans="1:13">
      <c r="A353" s="43" t="s">
        <v>622</v>
      </c>
      <c r="B353" s="43" t="s">
        <v>623</v>
      </c>
      <c r="C353" s="43" t="s">
        <v>13</v>
      </c>
      <c r="D353" s="43" t="s">
        <v>20</v>
      </c>
      <c r="E353" s="43" t="s">
        <v>21</v>
      </c>
      <c r="F353" s="47">
        <v>45613</v>
      </c>
      <c r="G353" s="43">
        <f t="shared" si="5"/>
        <v>2024</v>
      </c>
      <c r="H353" s="43">
        <v>1.8</v>
      </c>
      <c r="I353" s="48">
        <v>88000</v>
      </c>
      <c r="J353" s="44">
        <v>6.3</v>
      </c>
      <c r="K353" s="43" t="s">
        <v>16</v>
      </c>
      <c r="L353" s="43"/>
      <c r="M353" s="43"/>
    </row>
    <row r="354" spans="1:13">
      <c r="A354" s="43" t="s">
        <v>624</v>
      </c>
      <c r="B354" s="43" t="s">
        <v>355</v>
      </c>
      <c r="C354" s="43" t="s">
        <v>13</v>
      </c>
      <c r="D354" s="43" t="s">
        <v>20</v>
      </c>
      <c r="E354" s="43" t="s">
        <v>56</v>
      </c>
      <c r="F354" s="47">
        <v>42039</v>
      </c>
      <c r="G354" s="43">
        <f t="shared" si="5"/>
        <v>2015</v>
      </c>
      <c r="H354" s="43">
        <v>11.6</v>
      </c>
      <c r="I354" s="48">
        <v>128000</v>
      </c>
      <c r="J354" s="44">
        <v>6.8</v>
      </c>
      <c r="K354" s="43" t="s">
        <v>16</v>
      </c>
      <c r="L354" s="43"/>
      <c r="M354" s="43"/>
    </row>
    <row r="355" spans="1:13">
      <c r="A355" s="43" t="s">
        <v>625</v>
      </c>
      <c r="B355" s="43" t="s">
        <v>163</v>
      </c>
      <c r="C355" s="43" t="s">
        <v>13</v>
      </c>
      <c r="D355" s="43" t="s">
        <v>68</v>
      </c>
      <c r="E355" s="43" t="s">
        <v>56</v>
      </c>
      <c r="F355" s="47">
        <v>42894</v>
      </c>
      <c r="G355" s="43">
        <f t="shared" si="5"/>
        <v>2017</v>
      </c>
      <c r="H355" s="43">
        <v>9.2</v>
      </c>
      <c r="I355" s="48">
        <v>49000</v>
      </c>
      <c r="J355" s="44">
        <v>6.5</v>
      </c>
      <c r="K355" s="43" t="s">
        <v>92</v>
      </c>
      <c r="L355" s="43"/>
      <c r="M355" s="43"/>
    </row>
    <row r="356" spans="1:13">
      <c r="A356" s="43" t="s">
        <v>626</v>
      </c>
      <c r="B356" s="43" t="s">
        <v>627</v>
      </c>
      <c r="C356" s="43" t="s">
        <v>13</v>
      </c>
      <c r="D356" s="43" t="s">
        <v>24</v>
      </c>
      <c r="E356" s="43" t="s">
        <v>21</v>
      </c>
      <c r="F356" s="47">
        <v>45950</v>
      </c>
      <c r="G356" s="43">
        <f t="shared" si="5"/>
        <v>2025</v>
      </c>
      <c r="H356" s="43">
        <v>0.8</v>
      </c>
      <c r="I356" s="48">
        <v>94000</v>
      </c>
      <c r="J356" s="44">
        <v>7.3</v>
      </c>
      <c r="K356" s="43" t="s">
        <v>16</v>
      </c>
      <c r="L356" s="43"/>
      <c r="M356" s="43"/>
    </row>
    <row r="357" spans="1:13">
      <c r="A357" s="43" t="s">
        <v>628</v>
      </c>
      <c r="B357" s="43" t="s">
        <v>629</v>
      </c>
      <c r="C357" s="43" t="s">
        <v>13</v>
      </c>
      <c r="D357" s="43" t="s">
        <v>68</v>
      </c>
      <c r="E357" s="43" t="s">
        <v>25</v>
      </c>
      <c r="F357" s="47">
        <v>43172</v>
      </c>
      <c r="G357" s="43">
        <f t="shared" si="5"/>
        <v>2018</v>
      </c>
      <c r="H357" s="43">
        <v>8.5</v>
      </c>
      <c r="I357" s="48">
        <v>41000</v>
      </c>
      <c r="J357" s="44">
        <v>8.1</v>
      </c>
      <c r="K357" s="43" t="s">
        <v>16</v>
      </c>
      <c r="L357" s="43"/>
      <c r="M357" s="43"/>
    </row>
    <row r="358" spans="1:13">
      <c r="A358" s="43" t="s">
        <v>630</v>
      </c>
      <c r="B358" s="43" t="s">
        <v>631</v>
      </c>
      <c r="C358" s="43" t="s">
        <v>19</v>
      </c>
      <c r="D358" s="43" t="s">
        <v>68</v>
      </c>
      <c r="E358" s="43" t="s">
        <v>15</v>
      </c>
      <c r="F358" s="47">
        <v>43609</v>
      </c>
      <c r="G358" s="43">
        <f t="shared" si="5"/>
        <v>2019</v>
      </c>
      <c r="H358" s="43">
        <v>7.3</v>
      </c>
      <c r="I358" s="48">
        <v>75000</v>
      </c>
      <c r="J358" s="44">
        <v>6.3</v>
      </c>
      <c r="K358" s="43" t="s">
        <v>16</v>
      </c>
      <c r="L358" s="43"/>
      <c r="M358" s="43"/>
    </row>
    <row r="359" spans="1:13">
      <c r="A359" s="43" t="s">
        <v>632</v>
      </c>
      <c r="B359" s="43" t="s">
        <v>144</v>
      </c>
      <c r="C359" s="43" t="s">
        <v>13</v>
      </c>
      <c r="D359" s="43" t="s">
        <v>20</v>
      </c>
      <c r="E359" s="43" t="s">
        <v>56</v>
      </c>
      <c r="F359" s="47">
        <v>44437</v>
      </c>
      <c r="G359" s="43">
        <f t="shared" si="5"/>
        <v>2021</v>
      </c>
      <c r="H359" s="43">
        <v>5</v>
      </c>
      <c r="I359" s="48">
        <v>59000</v>
      </c>
      <c r="J359" s="44">
        <v>6</v>
      </c>
      <c r="K359" s="43" t="s">
        <v>16</v>
      </c>
      <c r="L359" s="43"/>
      <c r="M359" s="43"/>
    </row>
    <row r="360" spans="1:13">
      <c r="A360" s="43" t="s">
        <v>633</v>
      </c>
      <c r="B360" s="43" t="s">
        <v>634</v>
      </c>
      <c r="C360" s="43" t="s">
        <v>13</v>
      </c>
      <c r="D360" s="43" t="s">
        <v>20</v>
      </c>
      <c r="E360" s="43" t="s">
        <v>53</v>
      </c>
      <c r="F360" s="47">
        <v>44333</v>
      </c>
      <c r="G360" s="43">
        <f t="shared" si="5"/>
        <v>2021</v>
      </c>
      <c r="H360" s="43">
        <v>5.3</v>
      </c>
      <c r="I360" s="48">
        <v>103000</v>
      </c>
      <c r="J360" s="44">
        <v>6.4</v>
      </c>
      <c r="K360" s="43" t="s">
        <v>16</v>
      </c>
      <c r="L360" s="43"/>
      <c r="M360" s="43"/>
    </row>
    <row r="361" spans="1:13">
      <c r="A361" s="43" t="s">
        <v>635</v>
      </c>
      <c r="B361" s="43" t="s">
        <v>636</v>
      </c>
      <c r="C361" s="43" t="s">
        <v>13</v>
      </c>
      <c r="D361" s="43" t="s">
        <v>20</v>
      </c>
      <c r="E361" s="43" t="s">
        <v>21</v>
      </c>
      <c r="F361" s="47">
        <v>42168</v>
      </c>
      <c r="G361" s="43">
        <f t="shared" si="5"/>
        <v>2015</v>
      </c>
      <c r="H361" s="43">
        <v>11.2</v>
      </c>
      <c r="I361" s="48">
        <v>57000</v>
      </c>
      <c r="J361" s="44">
        <v>8.7</v>
      </c>
      <c r="K361" s="43" t="s">
        <v>92</v>
      </c>
      <c r="L361" s="43"/>
      <c r="M361" s="43"/>
    </row>
    <row r="362" spans="1:13">
      <c r="A362" s="43" t="s">
        <v>637</v>
      </c>
      <c r="B362" s="43" t="s">
        <v>638</v>
      </c>
      <c r="C362" s="43" t="s">
        <v>19</v>
      </c>
      <c r="D362" s="43" t="s">
        <v>68</v>
      </c>
      <c r="E362" s="43" t="s">
        <v>56</v>
      </c>
      <c r="F362" s="47">
        <v>43706</v>
      </c>
      <c r="G362" s="43">
        <f t="shared" si="5"/>
        <v>2019</v>
      </c>
      <c r="H362" s="43">
        <v>7</v>
      </c>
      <c r="I362" s="48">
        <v>92000</v>
      </c>
      <c r="J362" s="44">
        <v>7.4</v>
      </c>
      <c r="K362" s="43" t="s">
        <v>16</v>
      </c>
      <c r="L362" s="43"/>
      <c r="M362" s="43"/>
    </row>
    <row r="363" spans="1:13">
      <c r="A363" s="43" t="s">
        <v>639</v>
      </c>
      <c r="B363" s="43" t="s">
        <v>104</v>
      </c>
      <c r="C363" s="43" t="s">
        <v>13</v>
      </c>
      <c r="D363" s="43" t="s">
        <v>59</v>
      </c>
      <c r="E363" s="43" t="s">
        <v>56</v>
      </c>
      <c r="F363" s="47">
        <v>42837</v>
      </c>
      <c r="G363" s="43">
        <f t="shared" si="5"/>
        <v>2017</v>
      </c>
      <c r="H363" s="43">
        <v>9.4</v>
      </c>
      <c r="I363" s="48">
        <v>91000</v>
      </c>
      <c r="J363" s="44">
        <v>7.1</v>
      </c>
      <c r="K363" s="43" t="s">
        <v>16</v>
      </c>
      <c r="L363" s="43"/>
      <c r="M363" s="43"/>
    </row>
    <row r="364" spans="1:13">
      <c r="A364" s="43" t="s">
        <v>640</v>
      </c>
      <c r="B364" s="43" t="s">
        <v>300</v>
      </c>
      <c r="C364" s="43" t="s">
        <v>19</v>
      </c>
      <c r="D364" s="43" t="s">
        <v>68</v>
      </c>
      <c r="E364" s="43" t="s">
        <v>25</v>
      </c>
      <c r="F364" s="47">
        <v>44794</v>
      </c>
      <c r="G364" s="43">
        <f t="shared" si="5"/>
        <v>2022</v>
      </c>
      <c r="H364" s="43">
        <v>4</v>
      </c>
      <c r="I364" s="48">
        <v>46000</v>
      </c>
      <c r="J364" s="44">
        <v>7.1</v>
      </c>
      <c r="K364" s="43" t="s">
        <v>92</v>
      </c>
      <c r="L364" s="43"/>
      <c r="M364" s="43"/>
    </row>
    <row r="365" spans="1:13">
      <c r="A365" s="43" t="s">
        <v>641</v>
      </c>
      <c r="B365" s="43" t="s">
        <v>642</v>
      </c>
      <c r="C365" s="43" t="s">
        <v>13</v>
      </c>
      <c r="D365" s="43" t="s">
        <v>20</v>
      </c>
      <c r="E365" s="43" t="s">
        <v>56</v>
      </c>
      <c r="F365" s="47">
        <v>43862</v>
      </c>
      <c r="G365" s="43">
        <f t="shared" si="5"/>
        <v>2020</v>
      </c>
      <c r="H365" s="43">
        <v>6.6</v>
      </c>
      <c r="I365" s="48">
        <v>128000</v>
      </c>
      <c r="J365" s="44">
        <v>8.6</v>
      </c>
      <c r="K365" s="43" t="s">
        <v>16</v>
      </c>
      <c r="L365" s="43"/>
      <c r="M365" s="43"/>
    </row>
    <row r="366" spans="1:13">
      <c r="A366" s="43" t="s">
        <v>643</v>
      </c>
      <c r="B366" s="43" t="s">
        <v>52</v>
      </c>
      <c r="C366" s="43" t="s">
        <v>19</v>
      </c>
      <c r="D366" s="43" t="s">
        <v>68</v>
      </c>
      <c r="E366" s="43" t="s">
        <v>15</v>
      </c>
      <c r="F366" s="47">
        <v>42056</v>
      </c>
      <c r="G366" s="43">
        <f t="shared" si="5"/>
        <v>2015</v>
      </c>
      <c r="H366" s="43">
        <v>11.5</v>
      </c>
      <c r="I366" s="48">
        <v>55000</v>
      </c>
      <c r="J366" s="44">
        <v>7.3</v>
      </c>
      <c r="K366" s="43" t="s">
        <v>92</v>
      </c>
      <c r="L366" s="43"/>
      <c r="M366" s="43"/>
    </row>
    <row r="367" spans="1:13">
      <c r="A367" s="43" t="s">
        <v>644</v>
      </c>
      <c r="B367" s="43" t="s">
        <v>482</v>
      </c>
      <c r="C367" s="43" t="s">
        <v>19</v>
      </c>
      <c r="D367" s="43" t="s">
        <v>20</v>
      </c>
      <c r="E367" s="43" t="s">
        <v>25</v>
      </c>
      <c r="F367" s="47">
        <v>43105</v>
      </c>
      <c r="G367" s="43">
        <f t="shared" si="5"/>
        <v>2018</v>
      </c>
      <c r="H367" s="43">
        <v>8.6</v>
      </c>
      <c r="I367" s="48">
        <v>65000</v>
      </c>
      <c r="J367" s="44">
        <v>6.9</v>
      </c>
      <c r="K367" s="43" t="s">
        <v>16</v>
      </c>
      <c r="L367" s="43"/>
      <c r="M367" s="43"/>
    </row>
    <row r="368" spans="1:13">
      <c r="A368" s="43" t="s">
        <v>645</v>
      </c>
      <c r="B368" s="43" t="s">
        <v>238</v>
      </c>
      <c r="C368" s="43" t="s">
        <v>13</v>
      </c>
      <c r="D368" s="43" t="s">
        <v>28</v>
      </c>
      <c r="E368" s="43" t="s">
        <v>56</v>
      </c>
      <c r="F368" s="47">
        <v>43082</v>
      </c>
      <c r="G368" s="43">
        <f t="shared" si="5"/>
        <v>2017</v>
      </c>
      <c r="H368" s="43">
        <v>8.7</v>
      </c>
      <c r="I368" s="48">
        <v>118000</v>
      </c>
      <c r="J368" s="44">
        <v>6.6</v>
      </c>
      <c r="K368" s="43" t="s">
        <v>16</v>
      </c>
      <c r="L368" s="43"/>
      <c r="M368" s="43"/>
    </row>
    <row r="369" spans="1:13">
      <c r="A369" s="43" t="s">
        <v>646</v>
      </c>
      <c r="B369" s="43" t="s">
        <v>441</v>
      </c>
      <c r="C369" s="43" t="s">
        <v>13</v>
      </c>
      <c r="D369" s="43" t="s">
        <v>24</v>
      </c>
      <c r="E369" s="43" t="s">
        <v>21</v>
      </c>
      <c r="F369" s="47">
        <v>43049</v>
      </c>
      <c r="G369" s="43">
        <f t="shared" si="5"/>
        <v>2017</v>
      </c>
      <c r="H369" s="43">
        <v>8.8</v>
      </c>
      <c r="I369" s="48">
        <v>53000</v>
      </c>
      <c r="J369" s="44">
        <v>6.6</v>
      </c>
      <c r="K369" s="43" t="s">
        <v>92</v>
      </c>
      <c r="L369" s="43"/>
      <c r="M369" s="43"/>
    </row>
    <row r="370" spans="1:13">
      <c r="A370" s="43" t="s">
        <v>647</v>
      </c>
      <c r="B370" s="43" t="s">
        <v>497</v>
      </c>
      <c r="C370" s="43" t="s">
        <v>13</v>
      </c>
      <c r="D370" s="43" t="s">
        <v>24</v>
      </c>
      <c r="E370" s="43" t="s">
        <v>15</v>
      </c>
      <c r="F370" s="47">
        <v>45539</v>
      </c>
      <c r="G370" s="43">
        <f t="shared" si="5"/>
        <v>2024</v>
      </c>
      <c r="H370" s="43">
        <v>2</v>
      </c>
      <c r="I370" s="48">
        <v>41000</v>
      </c>
      <c r="J370" s="44">
        <v>7.5</v>
      </c>
      <c r="K370" s="43" t="s">
        <v>16</v>
      </c>
      <c r="L370" s="43"/>
      <c r="M370" s="43"/>
    </row>
    <row r="371" spans="1:13">
      <c r="A371" s="43" t="s">
        <v>648</v>
      </c>
      <c r="B371" s="43" t="s">
        <v>537</v>
      </c>
      <c r="C371" s="43" t="s">
        <v>13</v>
      </c>
      <c r="D371" s="43" t="s">
        <v>20</v>
      </c>
      <c r="E371" s="43" t="s">
        <v>25</v>
      </c>
      <c r="F371" s="47">
        <v>44929</v>
      </c>
      <c r="G371" s="43">
        <f t="shared" si="5"/>
        <v>2023</v>
      </c>
      <c r="H371" s="43">
        <v>3.6</v>
      </c>
      <c r="I371" s="48">
        <v>133000</v>
      </c>
      <c r="J371" s="44">
        <v>8.7</v>
      </c>
      <c r="K371" s="43" t="s">
        <v>16</v>
      </c>
      <c r="L371" s="43"/>
      <c r="M371" s="43"/>
    </row>
    <row r="372" spans="1:13">
      <c r="A372" s="43" t="s">
        <v>649</v>
      </c>
      <c r="B372" s="43" t="s">
        <v>650</v>
      </c>
      <c r="C372" s="43" t="s">
        <v>19</v>
      </c>
      <c r="D372" s="43" t="s">
        <v>31</v>
      </c>
      <c r="E372" s="43" t="s">
        <v>21</v>
      </c>
      <c r="F372" s="47">
        <v>45388</v>
      </c>
      <c r="G372" s="43">
        <f t="shared" si="5"/>
        <v>2024</v>
      </c>
      <c r="H372" s="43">
        <v>2.4</v>
      </c>
      <c r="I372" s="48">
        <v>36000</v>
      </c>
      <c r="J372" s="44">
        <v>7</v>
      </c>
      <c r="K372" s="43" t="s">
        <v>16</v>
      </c>
      <c r="L372" s="43"/>
      <c r="M372" s="43"/>
    </row>
    <row r="373" spans="1:13">
      <c r="A373" s="43" t="s">
        <v>651</v>
      </c>
      <c r="B373" s="43" t="s">
        <v>652</v>
      </c>
      <c r="C373" s="43" t="s">
        <v>13</v>
      </c>
      <c r="D373" s="43" t="s">
        <v>42</v>
      </c>
      <c r="E373" s="43" t="s">
        <v>53</v>
      </c>
      <c r="F373" s="47">
        <v>45912</v>
      </c>
      <c r="G373" s="43">
        <f t="shared" si="5"/>
        <v>2025</v>
      </c>
      <c r="H373" s="43">
        <v>1</v>
      </c>
      <c r="I373" s="48">
        <v>63000</v>
      </c>
      <c r="J373" s="44">
        <v>7.3</v>
      </c>
      <c r="K373" s="43" t="s">
        <v>16</v>
      </c>
      <c r="L373" s="43"/>
      <c r="M373" s="43"/>
    </row>
    <row r="374" spans="1:13">
      <c r="A374" s="43" t="s">
        <v>653</v>
      </c>
      <c r="B374" s="43" t="s">
        <v>654</v>
      </c>
      <c r="C374" s="43" t="s">
        <v>19</v>
      </c>
      <c r="D374" s="43" t="s">
        <v>42</v>
      </c>
      <c r="E374" s="43" t="s">
        <v>21</v>
      </c>
      <c r="F374" s="47">
        <v>42358</v>
      </c>
      <c r="G374" s="43">
        <f t="shared" si="5"/>
        <v>2015</v>
      </c>
      <c r="H374" s="43">
        <v>10.7</v>
      </c>
      <c r="I374" s="48">
        <v>73000</v>
      </c>
      <c r="J374" s="44">
        <v>6.5</v>
      </c>
      <c r="K374" s="43" t="s">
        <v>16</v>
      </c>
      <c r="L374" s="43"/>
      <c r="M374" s="43"/>
    </row>
    <row r="375" spans="1:13">
      <c r="A375" s="43" t="s">
        <v>655</v>
      </c>
      <c r="B375" s="43" t="s">
        <v>656</v>
      </c>
      <c r="C375" s="43" t="s">
        <v>19</v>
      </c>
      <c r="D375" s="43" t="s">
        <v>59</v>
      </c>
      <c r="E375" s="43" t="s">
        <v>21</v>
      </c>
      <c r="F375" s="47">
        <v>45985</v>
      </c>
      <c r="G375" s="43">
        <f t="shared" si="5"/>
        <v>2025</v>
      </c>
      <c r="H375" s="43">
        <v>0.8</v>
      </c>
      <c r="I375" s="48">
        <v>71000</v>
      </c>
      <c r="J375" s="44">
        <v>7.8</v>
      </c>
      <c r="K375" s="43" t="s">
        <v>92</v>
      </c>
      <c r="L375" s="43"/>
      <c r="M375" s="43"/>
    </row>
    <row r="376" spans="1:13">
      <c r="A376" s="43" t="s">
        <v>657</v>
      </c>
      <c r="B376" s="43" t="s">
        <v>658</v>
      </c>
      <c r="C376" s="43" t="s">
        <v>13</v>
      </c>
      <c r="D376" s="43" t="s">
        <v>42</v>
      </c>
      <c r="E376" s="43" t="s">
        <v>21</v>
      </c>
      <c r="F376" s="47">
        <v>42031</v>
      </c>
      <c r="G376" s="43">
        <f t="shared" si="5"/>
        <v>2015</v>
      </c>
      <c r="H376" s="43">
        <v>11.6</v>
      </c>
      <c r="I376" s="48">
        <v>64000</v>
      </c>
      <c r="J376" s="44">
        <v>8.9</v>
      </c>
      <c r="K376" s="43" t="s">
        <v>16</v>
      </c>
      <c r="L376" s="43"/>
      <c r="M376" s="43"/>
    </row>
    <row r="377" spans="1:13">
      <c r="A377" s="43" t="s">
        <v>659</v>
      </c>
      <c r="B377" s="43" t="s">
        <v>660</v>
      </c>
      <c r="C377" s="43" t="s">
        <v>13</v>
      </c>
      <c r="D377" s="43" t="s">
        <v>68</v>
      </c>
      <c r="E377" s="43" t="s">
        <v>21</v>
      </c>
      <c r="F377" s="47">
        <v>45028</v>
      </c>
      <c r="G377" s="43">
        <f t="shared" si="5"/>
        <v>2023</v>
      </c>
      <c r="H377" s="43">
        <v>3.4</v>
      </c>
      <c r="I377" s="48">
        <v>77000</v>
      </c>
      <c r="J377" s="44">
        <v>7.7</v>
      </c>
      <c r="K377" s="43" t="s">
        <v>16</v>
      </c>
      <c r="L377" s="43"/>
      <c r="M377" s="43"/>
    </row>
    <row r="378" spans="1:13">
      <c r="A378" s="43" t="s">
        <v>661</v>
      </c>
      <c r="B378" s="43" t="s">
        <v>78</v>
      </c>
      <c r="C378" s="43" t="s">
        <v>13</v>
      </c>
      <c r="D378" s="43" t="s">
        <v>31</v>
      </c>
      <c r="E378" s="43" t="s">
        <v>53</v>
      </c>
      <c r="F378" s="47">
        <v>42588</v>
      </c>
      <c r="G378" s="43">
        <f t="shared" si="5"/>
        <v>2016</v>
      </c>
      <c r="H378" s="43">
        <v>10.1</v>
      </c>
      <c r="I378" s="48">
        <v>77000</v>
      </c>
      <c r="J378" s="44">
        <v>7.4</v>
      </c>
      <c r="K378" s="43" t="s">
        <v>16</v>
      </c>
      <c r="L378" s="43"/>
      <c r="M378" s="43"/>
    </row>
    <row r="379" spans="1:13">
      <c r="A379" s="43" t="s">
        <v>662</v>
      </c>
      <c r="B379" s="43" t="s">
        <v>106</v>
      </c>
      <c r="C379" s="43" t="s">
        <v>19</v>
      </c>
      <c r="D379" s="43" t="s">
        <v>28</v>
      </c>
      <c r="E379" s="43" t="s">
        <v>25</v>
      </c>
      <c r="F379" s="47">
        <v>44383</v>
      </c>
      <c r="G379" s="43">
        <f t="shared" si="5"/>
        <v>2021</v>
      </c>
      <c r="H379" s="43">
        <v>5.1</v>
      </c>
      <c r="I379" s="48">
        <v>57000</v>
      </c>
      <c r="J379" s="44">
        <v>7.8</v>
      </c>
      <c r="K379" s="43" t="s">
        <v>16</v>
      </c>
      <c r="L379" s="43"/>
      <c r="M379" s="43"/>
    </row>
    <row r="380" spans="1:13">
      <c r="A380" s="43" t="s">
        <v>663</v>
      </c>
      <c r="B380" s="43" t="s">
        <v>91</v>
      </c>
      <c r="C380" s="43" t="s">
        <v>19</v>
      </c>
      <c r="D380" s="43" t="s">
        <v>24</v>
      </c>
      <c r="E380" s="43" t="s">
        <v>56</v>
      </c>
      <c r="F380" s="47">
        <v>45954</v>
      </c>
      <c r="G380" s="43">
        <f t="shared" si="5"/>
        <v>2025</v>
      </c>
      <c r="H380" s="43">
        <v>0.8</v>
      </c>
      <c r="I380" s="48">
        <v>56000</v>
      </c>
      <c r="J380" s="44">
        <v>7.6</v>
      </c>
      <c r="K380" s="43" t="s">
        <v>16</v>
      </c>
      <c r="L380" s="43"/>
      <c r="M380" s="43"/>
    </row>
    <row r="381" spans="1:13">
      <c r="A381" s="43" t="s">
        <v>664</v>
      </c>
      <c r="B381" s="43" t="s">
        <v>590</v>
      </c>
      <c r="C381" s="43" t="s">
        <v>19</v>
      </c>
      <c r="D381" s="43" t="s">
        <v>68</v>
      </c>
      <c r="E381" s="43" t="s">
        <v>21</v>
      </c>
      <c r="F381" s="47">
        <v>43118</v>
      </c>
      <c r="G381" s="43">
        <f t="shared" si="5"/>
        <v>2018</v>
      </c>
      <c r="H381" s="43">
        <v>8.6</v>
      </c>
      <c r="I381" s="48">
        <v>67000</v>
      </c>
      <c r="J381" s="44">
        <v>8.4</v>
      </c>
      <c r="K381" s="43" t="s">
        <v>16</v>
      </c>
      <c r="L381" s="43"/>
      <c r="M381" s="43"/>
    </row>
    <row r="382" spans="1:13">
      <c r="A382" s="43" t="s">
        <v>665</v>
      </c>
      <c r="B382" s="43" t="s">
        <v>666</v>
      </c>
      <c r="C382" s="43" t="s">
        <v>13</v>
      </c>
      <c r="D382" s="43" t="s">
        <v>42</v>
      </c>
      <c r="E382" s="43" t="s">
        <v>15</v>
      </c>
      <c r="F382" s="47">
        <v>42437</v>
      </c>
      <c r="G382" s="43">
        <f t="shared" si="5"/>
        <v>2016</v>
      </c>
      <c r="H382" s="43">
        <v>10.5</v>
      </c>
      <c r="I382" s="48">
        <v>48000</v>
      </c>
      <c r="J382" s="44">
        <v>6.6</v>
      </c>
      <c r="K382" s="43" t="s">
        <v>16</v>
      </c>
      <c r="L382" s="43"/>
      <c r="M382" s="43"/>
    </row>
    <row r="383" spans="1:13">
      <c r="A383" s="43" t="s">
        <v>667</v>
      </c>
      <c r="B383" s="43" t="s">
        <v>668</v>
      </c>
      <c r="C383" s="43" t="s">
        <v>19</v>
      </c>
      <c r="D383" s="43" t="s">
        <v>28</v>
      </c>
      <c r="E383" s="43" t="s">
        <v>56</v>
      </c>
      <c r="F383" s="47">
        <v>45496</v>
      </c>
      <c r="G383" s="43">
        <f t="shared" si="5"/>
        <v>2024</v>
      </c>
      <c r="H383" s="43">
        <v>2.1</v>
      </c>
      <c r="I383" s="48">
        <v>60000</v>
      </c>
      <c r="J383" s="44">
        <v>7.8</v>
      </c>
      <c r="K383" s="43" t="s">
        <v>16</v>
      </c>
      <c r="L383" s="43"/>
      <c r="M383" s="43"/>
    </row>
    <row r="384" spans="1:13">
      <c r="A384" s="43" t="s">
        <v>669</v>
      </c>
      <c r="B384" s="43" t="s">
        <v>329</v>
      </c>
      <c r="C384" s="43" t="s">
        <v>19</v>
      </c>
      <c r="D384" s="43" t="s">
        <v>68</v>
      </c>
      <c r="E384" s="43" t="s">
        <v>15</v>
      </c>
      <c r="F384" s="47">
        <v>45428</v>
      </c>
      <c r="G384" s="43">
        <f t="shared" si="5"/>
        <v>2024</v>
      </c>
      <c r="H384" s="43">
        <v>2.3</v>
      </c>
      <c r="I384" s="48">
        <v>79000</v>
      </c>
      <c r="J384" s="44">
        <v>8.5</v>
      </c>
      <c r="K384" s="43" t="s">
        <v>92</v>
      </c>
      <c r="L384" s="43"/>
      <c r="M384" s="43"/>
    </row>
    <row r="385" spans="1:13">
      <c r="A385" s="43" t="s">
        <v>670</v>
      </c>
      <c r="B385" s="43" t="s">
        <v>523</v>
      </c>
      <c r="C385" s="43" t="s">
        <v>19</v>
      </c>
      <c r="D385" s="43" t="s">
        <v>68</v>
      </c>
      <c r="E385" s="43" t="s">
        <v>21</v>
      </c>
      <c r="F385" s="47">
        <v>42717</v>
      </c>
      <c r="G385" s="43">
        <f t="shared" si="5"/>
        <v>2016</v>
      </c>
      <c r="H385" s="43">
        <v>9.7</v>
      </c>
      <c r="I385" s="48">
        <v>41000</v>
      </c>
      <c r="J385" s="44">
        <v>8.9</v>
      </c>
      <c r="K385" s="43" t="s">
        <v>92</v>
      </c>
      <c r="L385" s="43"/>
      <c r="M385" s="43"/>
    </row>
    <row r="386" spans="1:13">
      <c r="A386" s="43" t="s">
        <v>671</v>
      </c>
      <c r="B386" s="43" t="s">
        <v>672</v>
      </c>
      <c r="C386" s="43" t="s">
        <v>19</v>
      </c>
      <c r="D386" s="43" t="s">
        <v>24</v>
      </c>
      <c r="E386" s="43" t="s">
        <v>15</v>
      </c>
      <c r="F386" s="47">
        <v>42422</v>
      </c>
      <c r="G386" s="43">
        <f t="shared" si="5"/>
        <v>2016</v>
      </c>
      <c r="H386" s="43">
        <v>10.5</v>
      </c>
      <c r="I386" s="48">
        <v>57000</v>
      </c>
      <c r="J386" s="44">
        <v>7.8</v>
      </c>
      <c r="K386" s="43" t="s">
        <v>16</v>
      </c>
      <c r="L386" s="43"/>
      <c r="M386" s="43"/>
    </row>
    <row r="387" spans="1:13">
      <c r="A387" s="43" t="s">
        <v>673</v>
      </c>
      <c r="B387" s="43" t="s">
        <v>88</v>
      </c>
      <c r="C387" s="43" t="s">
        <v>13</v>
      </c>
      <c r="D387" s="43" t="s">
        <v>42</v>
      </c>
      <c r="E387" s="43" t="s">
        <v>21</v>
      </c>
      <c r="F387" s="47">
        <v>44586</v>
      </c>
      <c r="G387" s="43">
        <f t="shared" ref="G387:G450" si="6">YEAR(F387)</f>
        <v>2022</v>
      </c>
      <c r="H387" s="43">
        <v>4.6</v>
      </c>
      <c r="I387" s="48">
        <v>79000</v>
      </c>
      <c r="J387" s="44">
        <v>7.8</v>
      </c>
      <c r="K387" s="43" t="s">
        <v>16</v>
      </c>
      <c r="L387" s="43"/>
      <c r="M387" s="43"/>
    </row>
    <row r="388" spans="1:13">
      <c r="A388" s="43" t="s">
        <v>674</v>
      </c>
      <c r="B388" s="43" t="s">
        <v>675</v>
      </c>
      <c r="C388" s="43" t="s">
        <v>19</v>
      </c>
      <c r="D388" s="43" t="s">
        <v>20</v>
      </c>
      <c r="E388" s="43" t="s">
        <v>53</v>
      </c>
      <c r="F388" s="47">
        <v>42814</v>
      </c>
      <c r="G388" s="43">
        <f t="shared" si="6"/>
        <v>2017</v>
      </c>
      <c r="H388" s="43">
        <v>9.4</v>
      </c>
      <c r="I388" s="48">
        <v>132000</v>
      </c>
      <c r="J388" s="44">
        <v>7</v>
      </c>
      <c r="K388" s="43" t="s">
        <v>92</v>
      </c>
      <c r="L388" s="43"/>
      <c r="M388" s="43"/>
    </row>
    <row r="389" spans="1:13">
      <c r="A389" s="43" t="s">
        <v>676</v>
      </c>
      <c r="B389" s="43" t="s">
        <v>324</v>
      </c>
      <c r="C389" s="43" t="s">
        <v>19</v>
      </c>
      <c r="D389" s="43" t="s">
        <v>31</v>
      </c>
      <c r="E389" s="43" t="s">
        <v>15</v>
      </c>
      <c r="F389" s="47">
        <v>45790</v>
      </c>
      <c r="G389" s="43">
        <f t="shared" si="6"/>
        <v>2025</v>
      </c>
      <c r="H389" s="43">
        <v>1.3</v>
      </c>
      <c r="I389" s="48">
        <v>68000</v>
      </c>
      <c r="J389" s="44">
        <v>7.7</v>
      </c>
      <c r="K389" s="43" t="s">
        <v>16</v>
      </c>
      <c r="L389" s="43"/>
      <c r="M389" s="43"/>
    </row>
    <row r="390" spans="1:13">
      <c r="A390" s="43" t="s">
        <v>677</v>
      </c>
      <c r="B390" s="43" t="s">
        <v>678</v>
      </c>
      <c r="C390" s="43" t="s">
        <v>19</v>
      </c>
      <c r="D390" s="43" t="s">
        <v>28</v>
      </c>
      <c r="E390" s="43" t="s">
        <v>56</v>
      </c>
      <c r="F390" s="47">
        <v>43454</v>
      </c>
      <c r="G390" s="43">
        <f t="shared" si="6"/>
        <v>2018</v>
      </c>
      <c r="H390" s="43">
        <v>7.7</v>
      </c>
      <c r="I390" s="48">
        <v>72000</v>
      </c>
      <c r="J390" s="44">
        <v>8.2</v>
      </c>
      <c r="K390" s="43" t="s">
        <v>16</v>
      </c>
      <c r="L390" s="43"/>
      <c r="M390" s="43"/>
    </row>
    <row r="391" spans="1:13">
      <c r="A391" s="43" t="s">
        <v>679</v>
      </c>
      <c r="B391" s="43" t="s">
        <v>446</v>
      </c>
      <c r="C391" s="43" t="s">
        <v>13</v>
      </c>
      <c r="D391" s="43" t="s">
        <v>68</v>
      </c>
      <c r="E391" s="43" t="s">
        <v>21</v>
      </c>
      <c r="F391" s="47">
        <v>43213</v>
      </c>
      <c r="G391" s="43">
        <f t="shared" si="6"/>
        <v>2018</v>
      </c>
      <c r="H391" s="43">
        <v>8.3</v>
      </c>
      <c r="I391" s="48">
        <v>101000</v>
      </c>
      <c r="J391" s="44">
        <v>7</v>
      </c>
      <c r="K391" s="43" t="s">
        <v>16</v>
      </c>
      <c r="L391" s="43"/>
      <c r="M391" s="43"/>
    </row>
    <row r="392" spans="1:13">
      <c r="A392" s="43" t="s">
        <v>680</v>
      </c>
      <c r="B392" s="43" t="s">
        <v>681</v>
      </c>
      <c r="C392" s="43" t="s">
        <v>19</v>
      </c>
      <c r="D392" s="43" t="s">
        <v>59</v>
      </c>
      <c r="E392" s="43" t="s">
        <v>15</v>
      </c>
      <c r="F392" s="47">
        <v>42821</v>
      </c>
      <c r="G392" s="43">
        <f t="shared" si="6"/>
        <v>2017</v>
      </c>
      <c r="H392" s="43">
        <v>9.4</v>
      </c>
      <c r="I392" s="48">
        <v>81000</v>
      </c>
      <c r="J392" s="44">
        <v>8.5</v>
      </c>
      <c r="K392" s="43" t="s">
        <v>16</v>
      </c>
      <c r="L392" s="43"/>
      <c r="M392" s="43"/>
    </row>
    <row r="393" spans="1:13">
      <c r="A393" s="43" t="s">
        <v>682</v>
      </c>
      <c r="B393" s="43" t="s">
        <v>541</v>
      </c>
      <c r="C393" s="43" t="s">
        <v>13</v>
      </c>
      <c r="D393" s="43" t="s">
        <v>68</v>
      </c>
      <c r="E393" s="43" t="s">
        <v>56</v>
      </c>
      <c r="F393" s="47">
        <v>45205</v>
      </c>
      <c r="G393" s="43">
        <f t="shared" si="6"/>
        <v>2023</v>
      </c>
      <c r="H393" s="43">
        <v>2.9</v>
      </c>
      <c r="I393" s="48">
        <v>100000</v>
      </c>
      <c r="J393" s="44">
        <v>6.6</v>
      </c>
      <c r="K393" s="43" t="s">
        <v>16</v>
      </c>
      <c r="L393" s="43"/>
      <c r="M393" s="43"/>
    </row>
    <row r="394" spans="1:13">
      <c r="A394" s="43" t="s">
        <v>683</v>
      </c>
      <c r="B394" s="43" t="s">
        <v>37</v>
      </c>
      <c r="C394" s="43" t="s">
        <v>19</v>
      </c>
      <c r="D394" s="43" t="s">
        <v>20</v>
      </c>
      <c r="E394" s="43" t="s">
        <v>21</v>
      </c>
      <c r="F394" s="47">
        <v>42902</v>
      </c>
      <c r="G394" s="43">
        <f t="shared" si="6"/>
        <v>2017</v>
      </c>
      <c r="H394" s="43">
        <v>9.2</v>
      </c>
      <c r="I394" s="48">
        <v>53000</v>
      </c>
      <c r="J394" s="44">
        <v>9</v>
      </c>
      <c r="K394" s="43" t="s">
        <v>16</v>
      </c>
      <c r="L394" s="43"/>
      <c r="M394" s="43"/>
    </row>
    <row r="395" spans="1:13">
      <c r="A395" s="43" t="s">
        <v>684</v>
      </c>
      <c r="B395" s="43" t="s">
        <v>685</v>
      </c>
      <c r="C395" s="43" t="s">
        <v>19</v>
      </c>
      <c r="D395" s="43" t="s">
        <v>42</v>
      </c>
      <c r="E395" s="43" t="s">
        <v>53</v>
      </c>
      <c r="F395" s="47">
        <v>45994</v>
      </c>
      <c r="G395" s="43">
        <f t="shared" si="6"/>
        <v>2025</v>
      </c>
      <c r="H395" s="43">
        <v>0.7</v>
      </c>
      <c r="I395" s="48">
        <v>48000</v>
      </c>
      <c r="J395" s="44">
        <v>6.3</v>
      </c>
      <c r="K395" s="43" t="s">
        <v>16</v>
      </c>
      <c r="L395" s="43"/>
      <c r="M395" s="43"/>
    </row>
    <row r="396" spans="1:13">
      <c r="A396" s="43" t="s">
        <v>686</v>
      </c>
      <c r="B396" s="43" t="s">
        <v>687</v>
      </c>
      <c r="C396" s="43" t="s">
        <v>13</v>
      </c>
      <c r="D396" s="43" t="s">
        <v>42</v>
      </c>
      <c r="E396" s="43" t="s">
        <v>53</v>
      </c>
      <c r="F396" s="47">
        <v>42234</v>
      </c>
      <c r="G396" s="43">
        <f t="shared" si="6"/>
        <v>2015</v>
      </c>
      <c r="H396" s="43">
        <v>11</v>
      </c>
      <c r="I396" s="48">
        <v>86000</v>
      </c>
      <c r="J396" s="44">
        <v>8.3</v>
      </c>
      <c r="K396" s="43" t="s">
        <v>16</v>
      </c>
      <c r="L396" s="43"/>
      <c r="M396" s="43"/>
    </row>
    <row r="397" spans="1:13">
      <c r="A397" s="43" t="s">
        <v>688</v>
      </c>
      <c r="B397" s="43" t="s">
        <v>310</v>
      </c>
      <c r="C397" s="43" t="s">
        <v>19</v>
      </c>
      <c r="D397" s="43" t="s">
        <v>31</v>
      </c>
      <c r="E397" s="43" t="s">
        <v>15</v>
      </c>
      <c r="F397" s="47">
        <v>42973</v>
      </c>
      <c r="G397" s="43">
        <f t="shared" si="6"/>
        <v>2017</v>
      </c>
      <c r="H397" s="43">
        <v>9</v>
      </c>
      <c r="I397" s="48">
        <v>69000</v>
      </c>
      <c r="J397" s="44">
        <v>7.5</v>
      </c>
      <c r="K397" s="43" t="s">
        <v>16</v>
      </c>
      <c r="L397" s="43"/>
      <c r="M397" s="43"/>
    </row>
    <row r="398" spans="1:13">
      <c r="A398" s="43" t="s">
        <v>689</v>
      </c>
      <c r="B398" s="43" t="s">
        <v>44</v>
      </c>
      <c r="C398" s="43" t="s">
        <v>19</v>
      </c>
      <c r="D398" s="43" t="s">
        <v>20</v>
      </c>
      <c r="E398" s="43" t="s">
        <v>25</v>
      </c>
      <c r="F398" s="47">
        <v>45886</v>
      </c>
      <c r="G398" s="43">
        <f t="shared" si="6"/>
        <v>2025</v>
      </c>
      <c r="H398" s="43">
        <v>1</v>
      </c>
      <c r="I398" s="48">
        <v>122000</v>
      </c>
      <c r="J398" s="44">
        <v>6.2</v>
      </c>
      <c r="K398" s="43" t="s">
        <v>16</v>
      </c>
      <c r="L398" s="43"/>
      <c r="M398" s="43"/>
    </row>
    <row r="399" spans="1:13">
      <c r="A399" s="43" t="s">
        <v>690</v>
      </c>
      <c r="B399" s="43" t="s">
        <v>199</v>
      </c>
      <c r="C399" s="43" t="s">
        <v>19</v>
      </c>
      <c r="D399" s="43" t="s">
        <v>20</v>
      </c>
      <c r="E399" s="43" t="s">
        <v>15</v>
      </c>
      <c r="F399" s="47">
        <v>42235</v>
      </c>
      <c r="G399" s="43">
        <f t="shared" si="6"/>
        <v>2015</v>
      </c>
      <c r="H399" s="43">
        <v>11</v>
      </c>
      <c r="I399" s="48">
        <v>79000</v>
      </c>
      <c r="J399" s="44">
        <v>6.9</v>
      </c>
      <c r="K399" s="43" t="s">
        <v>16</v>
      </c>
      <c r="L399" s="43"/>
      <c r="M399" s="43"/>
    </row>
    <row r="400" spans="1:13">
      <c r="A400" s="43" t="s">
        <v>691</v>
      </c>
      <c r="B400" s="43" t="s">
        <v>480</v>
      </c>
      <c r="C400" s="43" t="s">
        <v>13</v>
      </c>
      <c r="D400" s="43" t="s">
        <v>20</v>
      </c>
      <c r="E400" s="43" t="s">
        <v>53</v>
      </c>
      <c r="F400" s="47">
        <v>42830</v>
      </c>
      <c r="G400" s="43">
        <f t="shared" si="6"/>
        <v>2017</v>
      </c>
      <c r="H400" s="43">
        <v>9.4</v>
      </c>
      <c r="I400" s="48">
        <v>66000</v>
      </c>
      <c r="J400" s="44">
        <v>7.1</v>
      </c>
      <c r="K400" s="43" t="s">
        <v>16</v>
      </c>
      <c r="L400" s="43"/>
      <c r="M400" s="43"/>
    </row>
    <row r="401" spans="1:13">
      <c r="A401" s="43" t="s">
        <v>692</v>
      </c>
      <c r="B401" s="43" t="s">
        <v>18</v>
      </c>
      <c r="C401" s="43" t="s">
        <v>19</v>
      </c>
      <c r="D401" s="43" t="s">
        <v>20</v>
      </c>
      <c r="E401" s="43" t="s">
        <v>25</v>
      </c>
      <c r="F401" s="47">
        <v>42585</v>
      </c>
      <c r="G401" s="43">
        <f t="shared" si="6"/>
        <v>2016</v>
      </c>
      <c r="H401" s="43">
        <v>10.1</v>
      </c>
      <c r="I401" s="48">
        <v>64000</v>
      </c>
      <c r="J401" s="44">
        <v>8.1</v>
      </c>
      <c r="K401" s="43" t="s">
        <v>16</v>
      </c>
      <c r="L401" s="43"/>
      <c r="M401" s="43"/>
    </row>
    <row r="402" spans="1:13">
      <c r="A402" s="43" t="s">
        <v>693</v>
      </c>
      <c r="B402" s="43" t="s">
        <v>349</v>
      </c>
      <c r="C402" s="43" t="s">
        <v>19</v>
      </c>
      <c r="D402" s="43" t="s">
        <v>68</v>
      </c>
      <c r="E402" s="43" t="s">
        <v>56</v>
      </c>
      <c r="F402" s="47">
        <v>44405</v>
      </c>
      <c r="G402" s="43">
        <f t="shared" si="6"/>
        <v>2021</v>
      </c>
      <c r="H402" s="43">
        <v>5.1</v>
      </c>
      <c r="I402" s="48">
        <v>50000</v>
      </c>
      <c r="J402" s="44">
        <v>7</v>
      </c>
      <c r="K402" s="43" t="s">
        <v>92</v>
      </c>
      <c r="L402" s="43"/>
      <c r="M402" s="43"/>
    </row>
    <row r="403" spans="1:13">
      <c r="A403" s="43" t="s">
        <v>694</v>
      </c>
      <c r="B403" s="43" t="s">
        <v>50</v>
      </c>
      <c r="C403" s="43" t="s">
        <v>19</v>
      </c>
      <c r="D403" s="43" t="s">
        <v>31</v>
      </c>
      <c r="E403" s="43" t="s">
        <v>56</v>
      </c>
      <c r="F403" s="47">
        <v>42718</v>
      </c>
      <c r="G403" s="43">
        <f t="shared" si="6"/>
        <v>2016</v>
      </c>
      <c r="H403" s="43">
        <v>9.7</v>
      </c>
      <c r="I403" s="48">
        <v>77000</v>
      </c>
      <c r="J403" s="44">
        <v>8.3</v>
      </c>
      <c r="K403" s="43" t="s">
        <v>92</v>
      </c>
      <c r="L403" s="43"/>
      <c r="M403" s="43"/>
    </row>
    <row r="404" spans="1:13">
      <c r="A404" s="43" t="s">
        <v>695</v>
      </c>
      <c r="B404" s="43" t="s">
        <v>696</v>
      </c>
      <c r="C404" s="43" t="s">
        <v>19</v>
      </c>
      <c r="D404" s="43" t="s">
        <v>24</v>
      </c>
      <c r="E404" s="43" t="s">
        <v>15</v>
      </c>
      <c r="F404" s="47">
        <v>43261</v>
      </c>
      <c r="G404" s="43">
        <f t="shared" si="6"/>
        <v>2018</v>
      </c>
      <c r="H404" s="43">
        <v>8.2</v>
      </c>
      <c r="I404" s="48">
        <v>77000</v>
      </c>
      <c r="J404" s="44">
        <v>8.7</v>
      </c>
      <c r="K404" s="43" t="s">
        <v>92</v>
      </c>
      <c r="L404" s="43"/>
      <c r="M404" s="43"/>
    </row>
    <row r="405" spans="1:13">
      <c r="A405" s="43" t="s">
        <v>697</v>
      </c>
      <c r="B405" s="43" t="s">
        <v>157</v>
      </c>
      <c r="C405" s="43" t="s">
        <v>19</v>
      </c>
      <c r="D405" s="43" t="s">
        <v>31</v>
      </c>
      <c r="E405" s="43" t="s">
        <v>15</v>
      </c>
      <c r="F405" s="47">
        <v>44472</v>
      </c>
      <c r="G405" s="43">
        <f t="shared" si="6"/>
        <v>2021</v>
      </c>
      <c r="H405" s="43">
        <v>4.9</v>
      </c>
      <c r="I405" s="48">
        <v>52000</v>
      </c>
      <c r="J405" s="44">
        <v>8.8</v>
      </c>
      <c r="K405" s="43" t="s">
        <v>92</v>
      </c>
      <c r="L405" s="43"/>
      <c r="M405" s="43"/>
    </row>
    <row r="406" spans="1:13">
      <c r="A406" s="43" t="s">
        <v>698</v>
      </c>
      <c r="B406" s="43" t="s">
        <v>699</v>
      </c>
      <c r="C406" s="43" t="s">
        <v>13</v>
      </c>
      <c r="D406" s="43" t="s">
        <v>20</v>
      </c>
      <c r="E406" s="43" t="s">
        <v>56</v>
      </c>
      <c r="F406" s="47">
        <v>43361</v>
      </c>
      <c r="G406" s="43">
        <f t="shared" si="6"/>
        <v>2018</v>
      </c>
      <c r="H406" s="43">
        <v>7.9</v>
      </c>
      <c r="I406" s="48">
        <v>59000</v>
      </c>
      <c r="J406" s="44">
        <v>7.7</v>
      </c>
      <c r="K406" s="43" t="s">
        <v>16</v>
      </c>
      <c r="L406" s="43"/>
      <c r="M406" s="43"/>
    </row>
    <row r="407" spans="1:13">
      <c r="A407" s="43" t="s">
        <v>700</v>
      </c>
      <c r="B407" s="43" t="s">
        <v>329</v>
      </c>
      <c r="C407" s="43" t="s">
        <v>13</v>
      </c>
      <c r="D407" s="43" t="s">
        <v>68</v>
      </c>
      <c r="E407" s="43" t="s">
        <v>25</v>
      </c>
      <c r="F407" s="47">
        <v>43380</v>
      </c>
      <c r="G407" s="43">
        <f t="shared" si="6"/>
        <v>2018</v>
      </c>
      <c r="H407" s="43">
        <v>7.9</v>
      </c>
      <c r="I407" s="48">
        <v>95000</v>
      </c>
      <c r="J407" s="44">
        <v>10</v>
      </c>
      <c r="K407" s="43" t="s">
        <v>16</v>
      </c>
      <c r="L407" s="43"/>
      <c r="M407" s="43"/>
    </row>
    <row r="408" spans="1:13">
      <c r="A408" s="43" t="s">
        <v>701</v>
      </c>
      <c r="B408" s="43" t="s">
        <v>497</v>
      </c>
      <c r="C408" s="43" t="s">
        <v>13</v>
      </c>
      <c r="D408" s="43" t="s">
        <v>20</v>
      </c>
      <c r="E408" s="43" t="s">
        <v>21</v>
      </c>
      <c r="F408" s="47">
        <v>42447</v>
      </c>
      <c r="G408" s="43">
        <f t="shared" si="6"/>
        <v>2016</v>
      </c>
      <c r="H408" s="43">
        <v>10.4</v>
      </c>
      <c r="I408" s="48">
        <v>50000</v>
      </c>
      <c r="J408" s="44">
        <v>8.6</v>
      </c>
      <c r="K408" s="43" t="s">
        <v>16</v>
      </c>
      <c r="L408" s="43"/>
      <c r="M408" s="43"/>
    </row>
    <row r="409" spans="1:13">
      <c r="A409" s="43" t="s">
        <v>702</v>
      </c>
      <c r="B409" s="43" t="s">
        <v>118</v>
      </c>
      <c r="C409" s="43" t="s">
        <v>13</v>
      </c>
      <c r="D409" s="43" t="s">
        <v>24</v>
      </c>
      <c r="E409" s="43" t="s">
        <v>21</v>
      </c>
      <c r="F409" s="47">
        <v>44241</v>
      </c>
      <c r="G409" s="43">
        <f t="shared" si="6"/>
        <v>2021</v>
      </c>
      <c r="H409" s="43">
        <v>5.5</v>
      </c>
      <c r="I409" s="48">
        <v>88000</v>
      </c>
      <c r="J409" s="44">
        <v>7.9</v>
      </c>
      <c r="K409" s="43" t="s">
        <v>16</v>
      </c>
      <c r="L409" s="43"/>
      <c r="M409" s="43"/>
    </row>
    <row r="410" spans="1:13">
      <c r="A410" s="43" t="s">
        <v>703</v>
      </c>
      <c r="B410" s="43" t="s">
        <v>704</v>
      </c>
      <c r="C410" s="43" t="s">
        <v>19</v>
      </c>
      <c r="D410" s="43" t="s">
        <v>24</v>
      </c>
      <c r="E410" s="43" t="s">
        <v>25</v>
      </c>
      <c r="F410" s="47">
        <v>42928</v>
      </c>
      <c r="G410" s="43">
        <f t="shared" si="6"/>
        <v>2017</v>
      </c>
      <c r="H410" s="43">
        <v>9.1</v>
      </c>
      <c r="I410" s="48">
        <v>60000</v>
      </c>
      <c r="J410" s="44">
        <v>5.6</v>
      </c>
      <c r="K410" s="43" t="s">
        <v>16</v>
      </c>
      <c r="L410" s="43"/>
      <c r="M410" s="43"/>
    </row>
    <row r="411" spans="1:13">
      <c r="A411" s="43" t="s">
        <v>705</v>
      </c>
      <c r="B411" s="43" t="s">
        <v>474</v>
      </c>
      <c r="C411" s="43" t="s">
        <v>13</v>
      </c>
      <c r="D411" s="43" t="s">
        <v>31</v>
      </c>
      <c r="E411" s="43" t="s">
        <v>15</v>
      </c>
      <c r="F411" s="47">
        <v>42701</v>
      </c>
      <c r="G411" s="43">
        <f t="shared" si="6"/>
        <v>2016</v>
      </c>
      <c r="H411" s="43">
        <v>9.7</v>
      </c>
      <c r="I411" s="48">
        <v>56000</v>
      </c>
      <c r="J411" s="44">
        <v>8.1</v>
      </c>
      <c r="K411" s="43" t="s">
        <v>16</v>
      </c>
      <c r="L411" s="43"/>
      <c r="M411" s="43"/>
    </row>
    <row r="412" spans="1:13">
      <c r="A412" s="43" t="s">
        <v>706</v>
      </c>
      <c r="B412" s="43" t="s">
        <v>30</v>
      </c>
      <c r="C412" s="43" t="s">
        <v>13</v>
      </c>
      <c r="D412" s="43" t="s">
        <v>59</v>
      </c>
      <c r="E412" s="43" t="s">
        <v>53</v>
      </c>
      <c r="F412" s="47">
        <v>45663</v>
      </c>
      <c r="G412" s="43">
        <f t="shared" si="6"/>
        <v>2025</v>
      </c>
      <c r="H412" s="43">
        <v>1.6</v>
      </c>
      <c r="I412" s="48">
        <v>70000</v>
      </c>
      <c r="J412" s="44">
        <v>7.2</v>
      </c>
      <c r="K412" s="43" t="s">
        <v>16</v>
      </c>
      <c r="L412" s="43"/>
      <c r="M412" s="43"/>
    </row>
    <row r="413" spans="1:13">
      <c r="A413" s="43" t="s">
        <v>707</v>
      </c>
      <c r="B413" s="43" t="s">
        <v>210</v>
      </c>
      <c r="C413" s="43" t="s">
        <v>19</v>
      </c>
      <c r="D413" s="43" t="s">
        <v>20</v>
      </c>
      <c r="E413" s="43" t="s">
        <v>15</v>
      </c>
      <c r="F413" s="47">
        <v>42783</v>
      </c>
      <c r="G413" s="43">
        <f t="shared" si="6"/>
        <v>2017</v>
      </c>
      <c r="H413" s="43">
        <v>9.5</v>
      </c>
      <c r="I413" s="48">
        <v>102000</v>
      </c>
      <c r="J413" s="44">
        <v>6.4</v>
      </c>
      <c r="K413" s="43" t="s">
        <v>16</v>
      </c>
      <c r="L413" s="43"/>
      <c r="M413" s="43"/>
    </row>
    <row r="414" spans="1:13">
      <c r="A414" s="43" t="s">
        <v>708</v>
      </c>
      <c r="B414" s="43" t="s">
        <v>709</v>
      </c>
      <c r="C414" s="43" t="s">
        <v>19</v>
      </c>
      <c r="D414" s="43" t="s">
        <v>59</v>
      </c>
      <c r="E414" s="43" t="s">
        <v>15</v>
      </c>
      <c r="F414" s="47">
        <v>43614</v>
      </c>
      <c r="G414" s="43">
        <f t="shared" si="6"/>
        <v>2019</v>
      </c>
      <c r="H414" s="43">
        <v>7.2</v>
      </c>
      <c r="I414" s="48">
        <v>76000</v>
      </c>
      <c r="J414" s="44">
        <v>6.3</v>
      </c>
      <c r="K414" s="43" t="s">
        <v>16</v>
      </c>
      <c r="L414" s="43"/>
      <c r="M414" s="43"/>
    </row>
    <row r="415" spans="1:13">
      <c r="A415" s="43" t="s">
        <v>710</v>
      </c>
      <c r="B415" s="43" t="s">
        <v>131</v>
      </c>
      <c r="C415" s="43" t="s">
        <v>13</v>
      </c>
      <c r="D415" s="43" t="s">
        <v>59</v>
      </c>
      <c r="E415" s="43" t="s">
        <v>56</v>
      </c>
      <c r="F415" s="47">
        <v>44463</v>
      </c>
      <c r="G415" s="43">
        <f t="shared" si="6"/>
        <v>2021</v>
      </c>
      <c r="H415" s="43">
        <v>4.9</v>
      </c>
      <c r="I415" s="48">
        <v>70000</v>
      </c>
      <c r="J415" s="44">
        <v>7.1</v>
      </c>
      <c r="K415" s="43" t="s">
        <v>16</v>
      </c>
      <c r="L415" s="43"/>
      <c r="M415" s="43"/>
    </row>
    <row r="416" spans="1:13">
      <c r="A416" s="43" t="s">
        <v>711</v>
      </c>
      <c r="B416" s="43" t="s">
        <v>267</v>
      </c>
      <c r="C416" s="43" t="s">
        <v>13</v>
      </c>
      <c r="D416" s="43" t="s">
        <v>68</v>
      </c>
      <c r="E416" s="43" t="s">
        <v>53</v>
      </c>
      <c r="F416" s="47">
        <v>43944</v>
      </c>
      <c r="G416" s="43">
        <f t="shared" si="6"/>
        <v>2020</v>
      </c>
      <c r="H416" s="43">
        <v>6.3</v>
      </c>
      <c r="I416" s="48">
        <v>52000</v>
      </c>
      <c r="J416" s="44">
        <v>7.1</v>
      </c>
      <c r="K416" s="43" t="s">
        <v>16</v>
      </c>
      <c r="L416" s="43"/>
      <c r="M416" s="43"/>
    </row>
    <row r="417" spans="1:13">
      <c r="A417" s="43" t="s">
        <v>712</v>
      </c>
      <c r="B417" s="43" t="s">
        <v>394</v>
      </c>
      <c r="C417" s="43" t="s">
        <v>19</v>
      </c>
      <c r="D417" s="43" t="s">
        <v>24</v>
      </c>
      <c r="E417" s="43" t="s">
        <v>15</v>
      </c>
      <c r="F417" s="47">
        <v>45631</v>
      </c>
      <c r="G417" s="43">
        <f t="shared" si="6"/>
        <v>2024</v>
      </c>
      <c r="H417" s="43">
        <v>1.7</v>
      </c>
      <c r="I417" s="48">
        <v>88000</v>
      </c>
      <c r="J417" s="44">
        <v>8.5</v>
      </c>
      <c r="K417" s="43" t="s">
        <v>16</v>
      </c>
      <c r="L417" s="43"/>
      <c r="M417" s="43"/>
    </row>
    <row r="418" spans="1:13">
      <c r="A418" s="43" t="s">
        <v>713</v>
      </c>
      <c r="B418" s="43" t="s">
        <v>383</v>
      </c>
      <c r="C418" s="43" t="s">
        <v>19</v>
      </c>
      <c r="D418" s="43" t="s">
        <v>28</v>
      </c>
      <c r="E418" s="43" t="s">
        <v>21</v>
      </c>
      <c r="F418" s="47">
        <v>45433</v>
      </c>
      <c r="G418" s="43">
        <f t="shared" si="6"/>
        <v>2024</v>
      </c>
      <c r="H418" s="43">
        <v>2.3</v>
      </c>
      <c r="I418" s="48">
        <v>79000</v>
      </c>
      <c r="J418" s="44">
        <v>6.9</v>
      </c>
      <c r="K418" s="43" t="s">
        <v>16</v>
      </c>
      <c r="L418" s="43"/>
      <c r="M418" s="43"/>
    </row>
    <row r="419" spans="1:13">
      <c r="A419" s="43" t="s">
        <v>714</v>
      </c>
      <c r="B419" s="43" t="s">
        <v>394</v>
      </c>
      <c r="C419" s="43" t="s">
        <v>13</v>
      </c>
      <c r="D419" s="43" t="s">
        <v>28</v>
      </c>
      <c r="E419" s="43" t="s">
        <v>56</v>
      </c>
      <c r="F419" s="47">
        <v>45981</v>
      </c>
      <c r="G419" s="43">
        <f t="shared" si="6"/>
        <v>2025</v>
      </c>
      <c r="H419" s="43">
        <v>0.8</v>
      </c>
      <c r="I419" s="48">
        <v>120000</v>
      </c>
      <c r="J419" s="44">
        <v>7.3</v>
      </c>
      <c r="K419" s="43" t="s">
        <v>16</v>
      </c>
      <c r="L419" s="43"/>
      <c r="M419" s="43"/>
    </row>
    <row r="420" spans="1:13">
      <c r="A420" s="43" t="s">
        <v>715</v>
      </c>
      <c r="B420" s="43" t="s">
        <v>716</v>
      </c>
      <c r="C420" s="43" t="s">
        <v>13</v>
      </c>
      <c r="D420" s="43" t="s">
        <v>42</v>
      </c>
      <c r="E420" s="43" t="s">
        <v>21</v>
      </c>
      <c r="F420" s="47">
        <v>44198</v>
      </c>
      <c r="G420" s="43">
        <f t="shared" si="6"/>
        <v>2021</v>
      </c>
      <c r="H420" s="43">
        <v>5.6</v>
      </c>
      <c r="I420" s="48">
        <v>81000</v>
      </c>
      <c r="J420" s="44">
        <v>8.3</v>
      </c>
      <c r="K420" s="43" t="s">
        <v>92</v>
      </c>
      <c r="L420" s="43"/>
      <c r="M420" s="43"/>
    </row>
    <row r="421" spans="1:13">
      <c r="A421" s="43" t="s">
        <v>717</v>
      </c>
      <c r="B421" s="43" t="s">
        <v>718</v>
      </c>
      <c r="C421" s="43" t="s">
        <v>19</v>
      </c>
      <c r="D421" s="43" t="s">
        <v>28</v>
      </c>
      <c r="E421" s="43" t="s">
        <v>53</v>
      </c>
      <c r="F421" s="47">
        <v>42147</v>
      </c>
      <c r="G421" s="43">
        <f t="shared" si="6"/>
        <v>2015</v>
      </c>
      <c r="H421" s="43">
        <v>11.3</v>
      </c>
      <c r="I421" s="48">
        <v>109000</v>
      </c>
      <c r="J421" s="44">
        <v>6.6</v>
      </c>
      <c r="K421" s="43" t="s">
        <v>16</v>
      </c>
      <c r="L421" s="43"/>
      <c r="M421" s="43"/>
    </row>
    <row r="422" spans="1:13">
      <c r="A422" s="43" t="s">
        <v>719</v>
      </c>
      <c r="B422" s="43" t="s">
        <v>250</v>
      </c>
      <c r="C422" s="43" t="s">
        <v>13</v>
      </c>
      <c r="D422" s="43" t="s">
        <v>28</v>
      </c>
      <c r="E422" s="43" t="s">
        <v>53</v>
      </c>
      <c r="F422" s="47">
        <v>42689</v>
      </c>
      <c r="G422" s="43">
        <f t="shared" si="6"/>
        <v>2016</v>
      </c>
      <c r="H422" s="43">
        <v>9.8</v>
      </c>
      <c r="I422" s="48">
        <v>72000</v>
      </c>
      <c r="J422" s="44">
        <v>7.7</v>
      </c>
      <c r="K422" s="43" t="s">
        <v>16</v>
      </c>
      <c r="L422" s="43"/>
      <c r="M422" s="43"/>
    </row>
    <row r="423" spans="1:13">
      <c r="A423" s="43" t="s">
        <v>720</v>
      </c>
      <c r="B423" s="43" t="s">
        <v>721</v>
      </c>
      <c r="C423" s="43" t="s">
        <v>19</v>
      </c>
      <c r="D423" s="43" t="s">
        <v>68</v>
      </c>
      <c r="E423" s="43" t="s">
        <v>25</v>
      </c>
      <c r="F423" s="47">
        <v>43061</v>
      </c>
      <c r="G423" s="43">
        <f t="shared" si="6"/>
        <v>2017</v>
      </c>
      <c r="H423" s="43">
        <v>8.8</v>
      </c>
      <c r="I423" s="48">
        <v>78000</v>
      </c>
      <c r="J423" s="44">
        <v>7</v>
      </c>
      <c r="K423" s="43" t="s">
        <v>92</v>
      </c>
      <c r="L423" s="43"/>
      <c r="M423" s="43"/>
    </row>
    <row r="424" spans="1:13">
      <c r="A424" s="43" t="s">
        <v>722</v>
      </c>
      <c r="B424" s="43" t="s">
        <v>305</v>
      </c>
      <c r="C424" s="43" t="s">
        <v>13</v>
      </c>
      <c r="D424" s="43" t="s">
        <v>24</v>
      </c>
      <c r="E424" s="43" t="s">
        <v>56</v>
      </c>
      <c r="F424" s="47">
        <v>45513</v>
      </c>
      <c r="G424" s="43">
        <f t="shared" si="6"/>
        <v>2024</v>
      </c>
      <c r="H424" s="43">
        <v>2</v>
      </c>
      <c r="I424" s="48">
        <v>75000</v>
      </c>
      <c r="J424" s="44">
        <v>5.1</v>
      </c>
      <c r="K424" s="43" t="s">
        <v>16</v>
      </c>
      <c r="L424" s="43"/>
      <c r="M424" s="43"/>
    </row>
    <row r="425" spans="1:13">
      <c r="A425" s="43" t="s">
        <v>723</v>
      </c>
      <c r="B425" s="43" t="s">
        <v>724</v>
      </c>
      <c r="C425" s="43" t="s">
        <v>19</v>
      </c>
      <c r="D425" s="43" t="s">
        <v>20</v>
      </c>
      <c r="E425" s="43" t="s">
        <v>56</v>
      </c>
      <c r="F425" s="47">
        <v>44391</v>
      </c>
      <c r="G425" s="43">
        <f t="shared" si="6"/>
        <v>2021</v>
      </c>
      <c r="H425" s="43">
        <v>5.1</v>
      </c>
      <c r="I425" s="48">
        <v>62000</v>
      </c>
      <c r="J425" s="44">
        <v>7.2</v>
      </c>
      <c r="K425" s="43" t="s">
        <v>92</v>
      </c>
      <c r="L425" s="43"/>
      <c r="M425" s="43"/>
    </row>
    <row r="426" spans="1:13">
      <c r="A426" s="43" t="s">
        <v>725</v>
      </c>
      <c r="B426" s="43" t="s">
        <v>726</v>
      </c>
      <c r="C426" s="43" t="s">
        <v>13</v>
      </c>
      <c r="D426" s="43" t="s">
        <v>42</v>
      </c>
      <c r="E426" s="43" t="s">
        <v>53</v>
      </c>
      <c r="F426" s="47">
        <v>45600</v>
      </c>
      <c r="G426" s="43">
        <f t="shared" si="6"/>
        <v>2024</v>
      </c>
      <c r="H426" s="43">
        <v>1.8</v>
      </c>
      <c r="I426" s="48">
        <v>64000</v>
      </c>
      <c r="J426" s="44">
        <v>7.4</v>
      </c>
      <c r="K426" s="43" t="s">
        <v>16</v>
      </c>
      <c r="L426" s="43"/>
      <c r="M426" s="43"/>
    </row>
    <row r="427" spans="1:13">
      <c r="A427" s="43" t="s">
        <v>727</v>
      </c>
      <c r="B427" s="43" t="s">
        <v>215</v>
      </c>
      <c r="C427" s="43" t="s">
        <v>19</v>
      </c>
      <c r="D427" s="43" t="s">
        <v>59</v>
      </c>
      <c r="E427" s="43" t="s">
        <v>15</v>
      </c>
      <c r="F427" s="47">
        <v>44498</v>
      </c>
      <c r="G427" s="43">
        <f t="shared" si="6"/>
        <v>2021</v>
      </c>
      <c r="H427" s="43">
        <v>4.8</v>
      </c>
      <c r="I427" s="48">
        <v>83000</v>
      </c>
      <c r="J427" s="44">
        <v>9.1</v>
      </c>
      <c r="K427" s="43" t="s">
        <v>16</v>
      </c>
      <c r="L427" s="43"/>
      <c r="M427" s="43"/>
    </row>
    <row r="428" spans="1:13">
      <c r="A428" s="43" t="s">
        <v>728</v>
      </c>
      <c r="B428" s="43" t="s">
        <v>729</v>
      </c>
      <c r="C428" s="43" t="s">
        <v>13</v>
      </c>
      <c r="D428" s="43" t="s">
        <v>68</v>
      </c>
      <c r="E428" s="43" t="s">
        <v>15</v>
      </c>
      <c r="F428" s="47">
        <v>43951</v>
      </c>
      <c r="G428" s="43">
        <f t="shared" si="6"/>
        <v>2020</v>
      </c>
      <c r="H428" s="43">
        <v>6.3</v>
      </c>
      <c r="I428" s="48">
        <v>72000</v>
      </c>
      <c r="J428" s="44">
        <v>7.7</v>
      </c>
      <c r="K428" s="43" t="s">
        <v>16</v>
      </c>
      <c r="L428" s="43"/>
      <c r="M428" s="43"/>
    </row>
    <row r="429" spans="1:13">
      <c r="A429" s="43" t="s">
        <v>730</v>
      </c>
      <c r="B429" s="43" t="s">
        <v>136</v>
      </c>
      <c r="C429" s="43" t="s">
        <v>19</v>
      </c>
      <c r="D429" s="43" t="s">
        <v>42</v>
      </c>
      <c r="E429" s="43" t="s">
        <v>53</v>
      </c>
      <c r="F429" s="47">
        <v>44810</v>
      </c>
      <c r="G429" s="43">
        <f t="shared" si="6"/>
        <v>2022</v>
      </c>
      <c r="H429" s="43">
        <v>4</v>
      </c>
      <c r="I429" s="48">
        <v>44000</v>
      </c>
      <c r="J429" s="44">
        <v>7.4</v>
      </c>
      <c r="K429" s="43" t="s">
        <v>92</v>
      </c>
      <c r="L429" s="43"/>
      <c r="M429" s="43"/>
    </row>
    <row r="430" spans="1:13">
      <c r="A430" s="43" t="s">
        <v>731</v>
      </c>
      <c r="B430" s="43" t="s">
        <v>46</v>
      </c>
      <c r="C430" s="43" t="s">
        <v>13</v>
      </c>
      <c r="D430" s="43" t="s">
        <v>31</v>
      </c>
      <c r="E430" s="43" t="s">
        <v>56</v>
      </c>
      <c r="F430" s="47">
        <v>45387</v>
      </c>
      <c r="G430" s="43">
        <f t="shared" si="6"/>
        <v>2024</v>
      </c>
      <c r="H430" s="43">
        <v>2.4</v>
      </c>
      <c r="I430" s="48">
        <v>52000</v>
      </c>
      <c r="J430" s="44">
        <v>7.4</v>
      </c>
      <c r="K430" s="43" t="s">
        <v>16</v>
      </c>
      <c r="L430" s="43"/>
      <c r="M430" s="43"/>
    </row>
    <row r="431" spans="1:13">
      <c r="A431" s="43" t="s">
        <v>732</v>
      </c>
      <c r="B431" s="43" t="s">
        <v>733</v>
      </c>
      <c r="C431" s="43" t="s">
        <v>13</v>
      </c>
      <c r="D431" s="43" t="s">
        <v>31</v>
      </c>
      <c r="E431" s="43" t="s">
        <v>21</v>
      </c>
      <c r="F431" s="47">
        <v>43989</v>
      </c>
      <c r="G431" s="43">
        <f t="shared" si="6"/>
        <v>2020</v>
      </c>
      <c r="H431" s="43">
        <v>6.2</v>
      </c>
      <c r="I431" s="48">
        <v>80000</v>
      </c>
      <c r="J431" s="44">
        <v>8.6</v>
      </c>
      <c r="K431" s="43" t="s">
        <v>16</v>
      </c>
      <c r="L431" s="43"/>
      <c r="M431" s="43"/>
    </row>
    <row r="432" spans="1:13">
      <c r="A432" s="43" t="s">
        <v>734</v>
      </c>
      <c r="B432" s="43" t="s">
        <v>735</v>
      </c>
      <c r="C432" s="43" t="s">
        <v>19</v>
      </c>
      <c r="D432" s="43" t="s">
        <v>24</v>
      </c>
      <c r="E432" s="43" t="s">
        <v>15</v>
      </c>
      <c r="F432" s="47">
        <v>43279</v>
      </c>
      <c r="G432" s="43">
        <f t="shared" si="6"/>
        <v>2018</v>
      </c>
      <c r="H432" s="43">
        <v>8.2</v>
      </c>
      <c r="I432" s="48">
        <v>104000</v>
      </c>
      <c r="J432" s="44">
        <v>5.9</v>
      </c>
      <c r="K432" s="43" t="s">
        <v>16</v>
      </c>
      <c r="L432" s="43"/>
      <c r="M432" s="43"/>
    </row>
    <row r="433" spans="1:13">
      <c r="A433" s="43" t="s">
        <v>736</v>
      </c>
      <c r="B433" s="43" t="s">
        <v>652</v>
      </c>
      <c r="C433" s="43" t="s">
        <v>13</v>
      </c>
      <c r="D433" s="43" t="s">
        <v>42</v>
      </c>
      <c r="E433" s="43" t="s">
        <v>15</v>
      </c>
      <c r="F433" s="47">
        <v>42241</v>
      </c>
      <c r="G433" s="43">
        <f t="shared" si="6"/>
        <v>2015</v>
      </c>
      <c r="H433" s="43">
        <v>11</v>
      </c>
      <c r="I433" s="48">
        <v>53000</v>
      </c>
      <c r="J433" s="44">
        <v>8.6</v>
      </c>
      <c r="K433" s="43" t="s">
        <v>16</v>
      </c>
      <c r="L433" s="43"/>
      <c r="M433" s="43"/>
    </row>
    <row r="434" spans="1:13">
      <c r="A434" s="43" t="s">
        <v>737</v>
      </c>
      <c r="B434" s="43" t="s">
        <v>313</v>
      </c>
      <c r="C434" s="43" t="s">
        <v>13</v>
      </c>
      <c r="D434" s="43" t="s">
        <v>68</v>
      </c>
      <c r="E434" s="43" t="s">
        <v>21</v>
      </c>
      <c r="F434" s="47">
        <v>45378</v>
      </c>
      <c r="G434" s="43">
        <f t="shared" si="6"/>
        <v>2024</v>
      </c>
      <c r="H434" s="43">
        <v>2.4</v>
      </c>
      <c r="I434" s="48">
        <v>97000</v>
      </c>
      <c r="J434" s="44">
        <v>5.9</v>
      </c>
      <c r="K434" s="43" t="s">
        <v>16</v>
      </c>
      <c r="L434" s="43"/>
      <c r="M434" s="43"/>
    </row>
    <row r="435" spans="1:13">
      <c r="A435" s="43" t="s">
        <v>738</v>
      </c>
      <c r="B435" s="43" t="s">
        <v>739</v>
      </c>
      <c r="C435" s="43" t="s">
        <v>13</v>
      </c>
      <c r="D435" s="43" t="s">
        <v>24</v>
      </c>
      <c r="E435" s="43" t="s">
        <v>56</v>
      </c>
      <c r="F435" s="47">
        <v>45939</v>
      </c>
      <c r="G435" s="43">
        <f t="shared" si="6"/>
        <v>2025</v>
      </c>
      <c r="H435" s="43">
        <v>0.9</v>
      </c>
      <c r="I435" s="48">
        <v>100000</v>
      </c>
      <c r="J435" s="44">
        <v>7.4</v>
      </c>
      <c r="K435" s="43" t="s">
        <v>16</v>
      </c>
      <c r="L435" s="43"/>
      <c r="M435" s="43"/>
    </row>
    <row r="436" spans="1:13">
      <c r="A436" s="43" t="s">
        <v>740</v>
      </c>
      <c r="B436" s="43" t="s">
        <v>494</v>
      </c>
      <c r="C436" s="43" t="s">
        <v>19</v>
      </c>
      <c r="D436" s="43" t="s">
        <v>42</v>
      </c>
      <c r="E436" s="43" t="s">
        <v>21</v>
      </c>
      <c r="F436" s="47">
        <v>45408</v>
      </c>
      <c r="G436" s="43">
        <f t="shared" si="6"/>
        <v>2024</v>
      </c>
      <c r="H436" s="43">
        <v>2.3</v>
      </c>
      <c r="I436" s="48">
        <v>82000</v>
      </c>
      <c r="J436" s="44">
        <v>7.7</v>
      </c>
      <c r="K436" s="43" t="s">
        <v>16</v>
      </c>
      <c r="L436" s="43"/>
      <c r="M436" s="43"/>
    </row>
    <row r="437" spans="1:13">
      <c r="A437" s="43" t="s">
        <v>741</v>
      </c>
      <c r="B437" s="43" t="s">
        <v>742</v>
      </c>
      <c r="C437" s="43" t="s">
        <v>13</v>
      </c>
      <c r="D437" s="43" t="s">
        <v>68</v>
      </c>
      <c r="E437" s="43" t="s">
        <v>25</v>
      </c>
      <c r="F437" s="47">
        <v>43107</v>
      </c>
      <c r="G437" s="43">
        <f t="shared" si="6"/>
        <v>2018</v>
      </c>
      <c r="H437" s="43">
        <v>8.6</v>
      </c>
      <c r="I437" s="48">
        <v>90000</v>
      </c>
      <c r="J437" s="44">
        <v>7.6</v>
      </c>
      <c r="K437" s="43" t="s">
        <v>16</v>
      </c>
      <c r="L437" s="43"/>
      <c r="M437" s="43"/>
    </row>
    <row r="438" spans="1:13">
      <c r="A438" s="43" t="s">
        <v>743</v>
      </c>
      <c r="B438" s="43" t="s">
        <v>744</v>
      </c>
      <c r="C438" s="43" t="s">
        <v>13</v>
      </c>
      <c r="D438" s="43" t="s">
        <v>68</v>
      </c>
      <c r="E438" s="43" t="s">
        <v>56</v>
      </c>
      <c r="F438" s="47">
        <v>42039</v>
      </c>
      <c r="G438" s="43">
        <f t="shared" si="6"/>
        <v>2015</v>
      </c>
      <c r="H438" s="43">
        <v>11.6</v>
      </c>
      <c r="I438" s="48">
        <v>66000</v>
      </c>
      <c r="J438" s="44">
        <v>7.5</v>
      </c>
      <c r="K438" s="43" t="s">
        <v>16</v>
      </c>
      <c r="L438" s="43"/>
      <c r="M438" s="43"/>
    </row>
    <row r="439" spans="1:13">
      <c r="A439" s="43" t="s">
        <v>745</v>
      </c>
      <c r="B439" s="43" t="s">
        <v>746</v>
      </c>
      <c r="C439" s="43" t="s">
        <v>19</v>
      </c>
      <c r="D439" s="43" t="s">
        <v>42</v>
      </c>
      <c r="E439" s="43" t="s">
        <v>56</v>
      </c>
      <c r="F439" s="47">
        <v>42898</v>
      </c>
      <c r="G439" s="43">
        <f t="shared" si="6"/>
        <v>2017</v>
      </c>
      <c r="H439" s="43">
        <v>9.2</v>
      </c>
      <c r="I439" s="48">
        <v>67000</v>
      </c>
      <c r="J439" s="44">
        <v>9.5</v>
      </c>
      <c r="K439" s="43" t="s">
        <v>16</v>
      </c>
      <c r="L439" s="43"/>
      <c r="M439" s="43"/>
    </row>
    <row r="440" spans="1:13">
      <c r="A440" s="43" t="s">
        <v>747</v>
      </c>
      <c r="B440" s="43" t="s">
        <v>579</v>
      </c>
      <c r="C440" s="43" t="s">
        <v>19</v>
      </c>
      <c r="D440" s="43" t="s">
        <v>20</v>
      </c>
      <c r="E440" s="43" t="s">
        <v>53</v>
      </c>
      <c r="F440" s="47">
        <v>45963</v>
      </c>
      <c r="G440" s="43">
        <f t="shared" si="6"/>
        <v>2025</v>
      </c>
      <c r="H440" s="43">
        <v>0.8</v>
      </c>
      <c r="I440" s="48">
        <v>97000</v>
      </c>
      <c r="J440" s="44">
        <v>6.1</v>
      </c>
      <c r="K440" s="43" t="s">
        <v>16</v>
      </c>
      <c r="L440" s="43"/>
      <c r="M440" s="43"/>
    </row>
    <row r="441" spans="1:13">
      <c r="A441" s="43" t="s">
        <v>748</v>
      </c>
      <c r="B441" s="43" t="s">
        <v>570</v>
      </c>
      <c r="C441" s="43" t="s">
        <v>13</v>
      </c>
      <c r="D441" s="43" t="s">
        <v>59</v>
      </c>
      <c r="E441" s="43" t="s">
        <v>21</v>
      </c>
      <c r="F441" s="47">
        <v>43336</v>
      </c>
      <c r="G441" s="43">
        <f t="shared" si="6"/>
        <v>2018</v>
      </c>
      <c r="H441" s="43">
        <v>8</v>
      </c>
      <c r="I441" s="48">
        <v>95000</v>
      </c>
      <c r="J441" s="44">
        <v>6.9</v>
      </c>
      <c r="K441" s="43" t="s">
        <v>16</v>
      </c>
      <c r="L441" s="43"/>
      <c r="M441" s="43"/>
    </row>
    <row r="442" spans="1:13">
      <c r="A442" s="43" t="s">
        <v>749</v>
      </c>
      <c r="B442" s="43" t="s">
        <v>267</v>
      </c>
      <c r="C442" s="43" t="s">
        <v>19</v>
      </c>
      <c r="D442" s="43" t="s">
        <v>24</v>
      </c>
      <c r="E442" s="43" t="s">
        <v>21</v>
      </c>
      <c r="F442" s="47">
        <v>42237</v>
      </c>
      <c r="G442" s="43">
        <f t="shared" si="6"/>
        <v>2015</v>
      </c>
      <c r="H442" s="43">
        <v>11</v>
      </c>
      <c r="I442" s="48">
        <v>91000</v>
      </c>
      <c r="J442" s="44">
        <v>6.6</v>
      </c>
      <c r="K442" s="43" t="s">
        <v>16</v>
      </c>
      <c r="L442" s="43"/>
      <c r="M442" s="43"/>
    </row>
    <row r="443" spans="1:13">
      <c r="A443" s="43" t="s">
        <v>750</v>
      </c>
      <c r="B443" s="43" t="s">
        <v>136</v>
      </c>
      <c r="C443" s="43" t="s">
        <v>19</v>
      </c>
      <c r="D443" s="43" t="s">
        <v>31</v>
      </c>
      <c r="E443" s="43" t="s">
        <v>21</v>
      </c>
      <c r="F443" s="47">
        <v>45022</v>
      </c>
      <c r="G443" s="43">
        <f t="shared" si="6"/>
        <v>2023</v>
      </c>
      <c r="H443" s="43">
        <v>3.4</v>
      </c>
      <c r="I443" s="48">
        <v>34000</v>
      </c>
      <c r="J443" s="44">
        <v>6.1</v>
      </c>
      <c r="K443" s="43" t="s">
        <v>16</v>
      </c>
      <c r="L443" s="43"/>
      <c r="M443" s="43"/>
    </row>
    <row r="444" spans="1:13">
      <c r="A444" s="43" t="s">
        <v>751</v>
      </c>
      <c r="B444" s="43" t="s">
        <v>752</v>
      </c>
      <c r="C444" s="43" t="s">
        <v>13</v>
      </c>
      <c r="D444" s="43" t="s">
        <v>68</v>
      </c>
      <c r="E444" s="43" t="s">
        <v>25</v>
      </c>
      <c r="F444" s="47">
        <v>44619</v>
      </c>
      <c r="G444" s="43">
        <f t="shared" si="6"/>
        <v>2022</v>
      </c>
      <c r="H444" s="43">
        <v>4.5</v>
      </c>
      <c r="I444" s="48">
        <v>98000</v>
      </c>
      <c r="J444" s="44">
        <v>8.9</v>
      </c>
      <c r="K444" s="43" t="s">
        <v>16</v>
      </c>
      <c r="L444" s="43"/>
      <c r="M444" s="43"/>
    </row>
    <row r="445" spans="1:13">
      <c r="A445" s="43" t="s">
        <v>753</v>
      </c>
      <c r="B445" s="43" t="s">
        <v>151</v>
      </c>
      <c r="C445" s="43" t="s">
        <v>13</v>
      </c>
      <c r="D445" s="43" t="s">
        <v>42</v>
      </c>
      <c r="E445" s="43" t="s">
        <v>15</v>
      </c>
      <c r="F445" s="47">
        <v>42404</v>
      </c>
      <c r="G445" s="43">
        <f t="shared" si="6"/>
        <v>2016</v>
      </c>
      <c r="H445" s="43">
        <v>10.6</v>
      </c>
      <c r="I445" s="48">
        <v>68000</v>
      </c>
      <c r="J445" s="44">
        <v>6.6</v>
      </c>
      <c r="K445" s="43" t="s">
        <v>16</v>
      </c>
      <c r="L445" s="43"/>
      <c r="M445" s="43"/>
    </row>
    <row r="446" spans="1:13">
      <c r="A446" s="43" t="s">
        <v>754</v>
      </c>
      <c r="B446" s="43" t="s">
        <v>623</v>
      </c>
      <c r="C446" s="43" t="s">
        <v>19</v>
      </c>
      <c r="D446" s="43" t="s">
        <v>24</v>
      </c>
      <c r="E446" s="43" t="s">
        <v>53</v>
      </c>
      <c r="F446" s="47">
        <v>45883</v>
      </c>
      <c r="G446" s="43">
        <f t="shared" si="6"/>
        <v>2025</v>
      </c>
      <c r="H446" s="43">
        <v>1</v>
      </c>
      <c r="I446" s="48">
        <v>82000</v>
      </c>
      <c r="J446" s="44">
        <v>7.1</v>
      </c>
      <c r="K446" s="43" t="s">
        <v>16</v>
      </c>
      <c r="L446" s="43"/>
      <c r="M446" s="43"/>
    </row>
    <row r="447" spans="1:13">
      <c r="A447" s="43" t="s">
        <v>755</v>
      </c>
      <c r="B447" s="43" t="s">
        <v>756</v>
      </c>
      <c r="C447" s="43" t="s">
        <v>19</v>
      </c>
      <c r="D447" s="43" t="s">
        <v>42</v>
      </c>
      <c r="E447" s="43" t="s">
        <v>21</v>
      </c>
      <c r="F447" s="47">
        <v>44403</v>
      </c>
      <c r="G447" s="43">
        <f t="shared" si="6"/>
        <v>2021</v>
      </c>
      <c r="H447" s="43">
        <v>5.1</v>
      </c>
      <c r="I447" s="48">
        <v>56000</v>
      </c>
      <c r="J447" s="44">
        <v>6.9</v>
      </c>
      <c r="K447" s="43" t="s">
        <v>16</v>
      </c>
      <c r="L447" s="43"/>
      <c r="M447" s="43"/>
    </row>
    <row r="448" spans="1:13">
      <c r="A448" s="43" t="s">
        <v>757</v>
      </c>
      <c r="B448" s="43" t="s">
        <v>678</v>
      </c>
      <c r="C448" s="43" t="s">
        <v>13</v>
      </c>
      <c r="D448" s="43" t="s">
        <v>42</v>
      </c>
      <c r="E448" s="43" t="s">
        <v>56</v>
      </c>
      <c r="F448" s="47">
        <v>45872</v>
      </c>
      <c r="G448" s="43">
        <f t="shared" si="6"/>
        <v>2025</v>
      </c>
      <c r="H448" s="43">
        <v>1.1</v>
      </c>
      <c r="I448" s="48">
        <v>77000</v>
      </c>
      <c r="J448" s="44">
        <v>9.6</v>
      </c>
      <c r="K448" s="43" t="s">
        <v>16</v>
      </c>
      <c r="L448" s="43"/>
      <c r="M448" s="43"/>
    </row>
    <row r="449" spans="1:13">
      <c r="A449" s="43" t="s">
        <v>758</v>
      </c>
      <c r="B449" s="43" t="s">
        <v>638</v>
      </c>
      <c r="C449" s="43" t="s">
        <v>19</v>
      </c>
      <c r="D449" s="43" t="s">
        <v>28</v>
      </c>
      <c r="E449" s="43" t="s">
        <v>53</v>
      </c>
      <c r="F449" s="47">
        <v>42622</v>
      </c>
      <c r="G449" s="43">
        <f t="shared" si="6"/>
        <v>2016</v>
      </c>
      <c r="H449" s="43">
        <v>10</v>
      </c>
      <c r="I449" s="48">
        <v>62000</v>
      </c>
      <c r="J449" s="44">
        <v>8.5</v>
      </c>
      <c r="K449" s="43" t="s">
        <v>92</v>
      </c>
      <c r="L449" s="43"/>
      <c r="M449" s="43"/>
    </row>
    <row r="450" spans="1:13">
      <c r="A450" s="43" t="s">
        <v>759</v>
      </c>
      <c r="B450" s="43" t="s">
        <v>127</v>
      </c>
      <c r="C450" s="43" t="s">
        <v>19</v>
      </c>
      <c r="D450" s="43" t="s">
        <v>42</v>
      </c>
      <c r="E450" s="43" t="s">
        <v>53</v>
      </c>
      <c r="F450" s="47">
        <v>42591</v>
      </c>
      <c r="G450" s="43">
        <f t="shared" si="6"/>
        <v>2016</v>
      </c>
      <c r="H450" s="43">
        <v>10</v>
      </c>
      <c r="I450" s="48">
        <v>58000</v>
      </c>
      <c r="J450" s="44">
        <v>8</v>
      </c>
      <c r="K450" s="43" t="s">
        <v>16</v>
      </c>
      <c r="L450" s="43"/>
      <c r="M450" s="43"/>
    </row>
    <row r="451" spans="1:13">
      <c r="A451" s="43" t="s">
        <v>760</v>
      </c>
      <c r="B451" s="43" t="s">
        <v>761</v>
      </c>
      <c r="C451" s="43" t="s">
        <v>19</v>
      </c>
      <c r="D451" s="43" t="s">
        <v>59</v>
      </c>
      <c r="E451" s="43" t="s">
        <v>15</v>
      </c>
      <c r="F451" s="47">
        <v>43856</v>
      </c>
      <c r="G451" s="43">
        <f t="shared" ref="G451:G501" si="7">YEAR(F451)</f>
        <v>2020</v>
      </c>
      <c r="H451" s="43">
        <v>6.6</v>
      </c>
      <c r="I451" s="48">
        <v>57000</v>
      </c>
      <c r="J451" s="44">
        <v>7</v>
      </c>
      <c r="K451" s="43" t="s">
        <v>16</v>
      </c>
      <c r="L451" s="43"/>
      <c r="M451" s="43"/>
    </row>
    <row r="452" spans="1:13">
      <c r="A452" s="43" t="s">
        <v>762</v>
      </c>
      <c r="B452" s="43" t="s">
        <v>559</v>
      </c>
      <c r="C452" s="43" t="s">
        <v>13</v>
      </c>
      <c r="D452" s="43" t="s">
        <v>20</v>
      </c>
      <c r="E452" s="43" t="s">
        <v>25</v>
      </c>
      <c r="F452" s="47">
        <v>45198</v>
      </c>
      <c r="G452" s="43">
        <f t="shared" si="7"/>
        <v>2023</v>
      </c>
      <c r="H452" s="43">
        <v>2.9</v>
      </c>
      <c r="I452" s="48">
        <v>61000</v>
      </c>
      <c r="J452" s="44">
        <v>8.3</v>
      </c>
      <c r="K452" s="43" t="s">
        <v>16</v>
      </c>
      <c r="L452" s="43"/>
      <c r="M452" s="43"/>
    </row>
    <row r="453" spans="1:13">
      <c r="A453" s="43" t="s">
        <v>763</v>
      </c>
      <c r="B453" s="43" t="s">
        <v>144</v>
      </c>
      <c r="C453" s="43" t="s">
        <v>19</v>
      </c>
      <c r="D453" s="43" t="s">
        <v>20</v>
      </c>
      <c r="E453" s="43" t="s">
        <v>56</v>
      </c>
      <c r="F453" s="47">
        <v>44997</v>
      </c>
      <c r="G453" s="43">
        <f t="shared" si="7"/>
        <v>2023</v>
      </c>
      <c r="H453" s="43">
        <v>3.5</v>
      </c>
      <c r="I453" s="48">
        <v>97000</v>
      </c>
      <c r="J453" s="44">
        <v>8.4</v>
      </c>
      <c r="K453" s="43" t="s">
        <v>92</v>
      </c>
      <c r="L453" s="43"/>
      <c r="M453" s="43"/>
    </row>
    <row r="454" spans="1:13">
      <c r="A454" s="43" t="s">
        <v>764</v>
      </c>
      <c r="B454" s="43" t="s">
        <v>173</v>
      </c>
      <c r="C454" s="43" t="s">
        <v>19</v>
      </c>
      <c r="D454" s="43" t="s">
        <v>24</v>
      </c>
      <c r="E454" s="43" t="s">
        <v>15</v>
      </c>
      <c r="F454" s="47">
        <v>42021</v>
      </c>
      <c r="G454" s="43">
        <f t="shared" si="7"/>
        <v>2015</v>
      </c>
      <c r="H454" s="43">
        <v>11.6</v>
      </c>
      <c r="I454" s="48">
        <v>71000</v>
      </c>
      <c r="J454" s="44">
        <v>7.8</v>
      </c>
      <c r="K454" s="43" t="s">
        <v>16</v>
      </c>
      <c r="L454" s="43"/>
      <c r="M454" s="43"/>
    </row>
    <row r="455" spans="1:13">
      <c r="A455" s="43" t="s">
        <v>765</v>
      </c>
      <c r="B455" s="43" t="s">
        <v>428</v>
      </c>
      <c r="C455" s="43" t="s">
        <v>13</v>
      </c>
      <c r="D455" s="43" t="s">
        <v>24</v>
      </c>
      <c r="E455" s="43" t="s">
        <v>15</v>
      </c>
      <c r="F455" s="47">
        <v>45379</v>
      </c>
      <c r="G455" s="43">
        <f t="shared" si="7"/>
        <v>2024</v>
      </c>
      <c r="H455" s="43">
        <v>2.4</v>
      </c>
      <c r="I455" s="48">
        <v>45000</v>
      </c>
      <c r="J455" s="44">
        <v>9.7</v>
      </c>
      <c r="K455" s="43" t="s">
        <v>16</v>
      </c>
      <c r="L455" s="43"/>
      <c r="M455" s="43"/>
    </row>
    <row r="456" spans="1:13">
      <c r="A456" s="43" t="s">
        <v>766</v>
      </c>
      <c r="B456" s="43" t="s">
        <v>767</v>
      </c>
      <c r="C456" s="43" t="s">
        <v>19</v>
      </c>
      <c r="D456" s="43" t="s">
        <v>24</v>
      </c>
      <c r="E456" s="43" t="s">
        <v>56</v>
      </c>
      <c r="F456" s="47">
        <v>43781</v>
      </c>
      <c r="G456" s="43">
        <f t="shared" si="7"/>
        <v>2019</v>
      </c>
      <c r="H456" s="43">
        <v>6.8</v>
      </c>
      <c r="I456" s="48">
        <v>57000</v>
      </c>
      <c r="J456" s="44">
        <v>6.2</v>
      </c>
      <c r="K456" s="43" t="s">
        <v>16</v>
      </c>
      <c r="L456" s="43"/>
      <c r="M456" s="43"/>
    </row>
    <row r="457" spans="1:13">
      <c r="A457" s="43" t="s">
        <v>768</v>
      </c>
      <c r="B457" s="43" t="s">
        <v>120</v>
      </c>
      <c r="C457" s="43" t="s">
        <v>13</v>
      </c>
      <c r="D457" s="43" t="s">
        <v>28</v>
      </c>
      <c r="E457" s="43" t="s">
        <v>21</v>
      </c>
      <c r="F457" s="47">
        <v>44983</v>
      </c>
      <c r="G457" s="43">
        <f t="shared" si="7"/>
        <v>2023</v>
      </c>
      <c r="H457" s="43">
        <v>3.5</v>
      </c>
      <c r="I457" s="48">
        <v>61000</v>
      </c>
      <c r="J457" s="44">
        <v>9.5</v>
      </c>
      <c r="K457" s="43" t="s">
        <v>16</v>
      </c>
      <c r="L457" s="43"/>
      <c r="M457" s="43"/>
    </row>
    <row r="458" spans="1:13">
      <c r="A458" s="43" t="s">
        <v>769</v>
      </c>
      <c r="B458" s="43" t="s">
        <v>770</v>
      </c>
      <c r="C458" s="43" t="s">
        <v>13</v>
      </c>
      <c r="D458" s="43" t="s">
        <v>20</v>
      </c>
      <c r="E458" s="43" t="s">
        <v>21</v>
      </c>
      <c r="F458" s="47">
        <v>44669</v>
      </c>
      <c r="G458" s="43">
        <f t="shared" si="7"/>
        <v>2022</v>
      </c>
      <c r="H458" s="43">
        <v>4.4</v>
      </c>
      <c r="I458" s="48">
        <v>54000</v>
      </c>
      <c r="J458" s="44">
        <v>6.4</v>
      </c>
      <c r="K458" s="43" t="s">
        <v>16</v>
      </c>
      <c r="L458" s="43"/>
      <c r="M458" s="43"/>
    </row>
    <row r="459" spans="1:13">
      <c r="A459" s="43" t="s">
        <v>771</v>
      </c>
      <c r="B459" s="43" t="s">
        <v>772</v>
      </c>
      <c r="C459" s="43" t="s">
        <v>13</v>
      </c>
      <c r="D459" s="43" t="s">
        <v>68</v>
      </c>
      <c r="E459" s="43" t="s">
        <v>56</v>
      </c>
      <c r="F459" s="47">
        <v>42085</v>
      </c>
      <c r="G459" s="43">
        <f t="shared" si="7"/>
        <v>2015</v>
      </c>
      <c r="H459" s="43">
        <v>11.4</v>
      </c>
      <c r="I459" s="48">
        <v>44000</v>
      </c>
      <c r="J459" s="44">
        <v>8.6</v>
      </c>
      <c r="K459" s="43" t="s">
        <v>16</v>
      </c>
      <c r="L459" s="43"/>
      <c r="M459" s="43"/>
    </row>
    <row r="460" spans="1:13">
      <c r="A460" s="43" t="s">
        <v>773</v>
      </c>
      <c r="B460" s="43" t="s">
        <v>774</v>
      </c>
      <c r="C460" s="43" t="s">
        <v>19</v>
      </c>
      <c r="D460" s="43" t="s">
        <v>20</v>
      </c>
      <c r="E460" s="43" t="s">
        <v>21</v>
      </c>
      <c r="F460" s="47">
        <v>44879</v>
      </c>
      <c r="G460" s="43">
        <f t="shared" si="7"/>
        <v>2022</v>
      </c>
      <c r="H460" s="43">
        <v>3.8</v>
      </c>
      <c r="I460" s="48">
        <v>69000</v>
      </c>
      <c r="J460" s="44">
        <v>8</v>
      </c>
      <c r="K460" s="43" t="s">
        <v>16</v>
      </c>
      <c r="L460" s="43"/>
      <c r="M460" s="43"/>
    </row>
    <row r="461" spans="1:13">
      <c r="A461" s="43" t="s">
        <v>775</v>
      </c>
      <c r="B461" s="43" t="s">
        <v>223</v>
      </c>
      <c r="C461" s="43" t="s">
        <v>19</v>
      </c>
      <c r="D461" s="43" t="s">
        <v>68</v>
      </c>
      <c r="E461" s="43" t="s">
        <v>21</v>
      </c>
      <c r="F461" s="47">
        <v>44485</v>
      </c>
      <c r="G461" s="43">
        <f t="shared" si="7"/>
        <v>2021</v>
      </c>
      <c r="H461" s="43">
        <v>4.9</v>
      </c>
      <c r="I461" s="48">
        <v>55000</v>
      </c>
      <c r="J461" s="44">
        <v>9.1</v>
      </c>
      <c r="K461" s="43" t="s">
        <v>16</v>
      </c>
      <c r="L461" s="43"/>
      <c r="M461" s="43"/>
    </row>
    <row r="462" spans="1:13">
      <c r="A462" s="43" t="s">
        <v>776</v>
      </c>
      <c r="B462" s="43" t="s">
        <v>234</v>
      </c>
      <c r="C462" s="43" t="s">
        <v>13</v>
      </c>
      <c r="D462" s="43" t="s">
        <v>68</v>
      </c>
      <c r="E462" s="43" t="s">
        <v>21</v>
      </c>
      <c r="F462" s="47">
        <v>45219</v>
      </c>
      <c r="G462" s="43">
        <f t="shared" si="7"/>
        <v>2023</v>
      </c>
      <c r="H462" s="43">
        <v>2.8</v>
      </c>
      <c r="I462" s="48">
        <v>51000</v>
      </c>
      <c r="J462" s="44">
        <v>6</v>
      </c>
      <c r="K462" s="43" t="s">
        <v>16</v>
      </c>
      <c r="L462" s="43"/>
      <c r="M462" s="43"/>
    </row>
    <row r="463" spans="1:13">
      <c r="A463" s="43" t="s">
        <v>777</v>
      </c>
      <c r="B463" s="43" t="s">
        <v>778</v>
      </c>
      <c r="C463" s="43" t="s">
        <v>13</v>
      </c>
      <c r="D463" s="43" t="s">
        <v>28</v>
      </c>
      <c r="E463" s="43" t="s">
        <v>15</v>
      </c>
      <c r="F463" s="47">
        <v>44250</v>
      </c>
      <c r="G463" s="43">
        <f t="shared" si="7"/>
        <v>2021</v>
      </c>
      <c r="H463" s="43">
        <v>5.5</v>
      </c>
      <c r="I463" s="48">
        <v>108000</v>
      </c>
      <c r="J463" s="44">
        <v>7.5</v>
      </c>
      <c r="K463" s="43" t="s">
        <v>92</v>
      </c>
      <c r="L463" s="43"/>
      <c r="M463" s="43"/>
    </row>
    <row r="464" spans="1:13">
      <c r="A464" s="43" t="s">
        <v>779</v>
      </c>
      <c r="B464" s="43" t="s">
        <v>165</v>
      </c>
      <c r="C464" s="43" t="s">
        <v>19</v>
      </c>
      <c r="D464" s="43" t="s">
        <v>20</v>
      </c>
      <c r="E464" s="43" t="s">
        <v>25</v>
      </c>
      <c r="F464" s="47">
        <v>45719</v>
      </c>
      <c r="G464" s="43">
        <f t="shared" si="7"/>
        <v>2025</v>
      </c>
      <c r="H464" s="43">
        <v>1.5</v>
      </c>
      <c r="I464" s="48">
        <v>64000</v>
      </c>
      <c r="J464" s="44">
        <v>8.3</v>
      </c>
      <c r="K464" s="43" t="s">
        <v>16</v>
      </c>
      <c r="L464" s="43"/>
      <c r="M464" s="43"/>
    </row>
    <row r="465" spans="1:13">
      <c r="A465" s="43" t="s">
        <v>780</v>
      </c>
      <c r="B465" s="43" t="s">
        <v>65</v>
      </c>
      <c r="C465" s="43" t="s">
        <v>13</v>
      </c>
      <c r="D465" s="43" t="s">
        <v>20</v>
      </c>
      <c r="E465" s="43" t="s">
        <v>25</v>
      </c>
      <c r="F465" s="47">
        <v>45710</v>
      </c>
      <c r="G465" s="43">
        <f t="shared" si="7"/>
        <v>2025</v>
      </c>
      <c r="H465" s="43">
        <v>1.5</v>
      </c>
      <c r="I465" s="48">
        <v>82000</v>
      </c>
      <c r="J465" s="44">
        <v>6.1</v>
      </c>
      <c r="K465" s="43" t="s">
        <v>16</v>
      </c>
      <c r="L465" s="43"/>
      <c r="M465" s="43"/>
    </row>
    <row r="466" spans="1:13">
      <c r="A466" s="43" t="s">
        <v>781</v>
      </c>
      <c r="B466" s="43" t="s">
        <v>136</v>
      </c>
      <c r="C466" s="43" t="s">
        <v>19</v>
      </c>
      <c r="D466" s="43" t="s">
        <v>28</v>
      </c>
      <c r="E466" s="43" t="s">
        <v>15</v>
      </c>
      <c r="F466" s="47">
        <v>42720</v>
      </c>
      <c r="G466" s="43">
        <f t="shared" si="7"/>
        <v>2016</v>
      </c>
      <c r="H466" s="43">
        <v>9.7</v>
      </c>
      <c r="I466" s="48">
        <v>50000</v>
      </c>
      <c r="J466" s="44">
        <v>8.1</v>
      </c>
      <c r="K466" s="43" t="s">
        <v>16</v>
      </c>
      <c r="L466" s="43"/>
      <c r="M466" s="43"/>
    </row>
    <row r="467" spans="1:13">
      <c r="A467" s="43" t="s">
        <v>782</v>
      </c>
      <c r="B467" s="43" t="s">
        <v>783</v>
      </c>
      <c r="C467" s="43" t="s">
        <v>19</v>
      </c>
      <c r="D467" s="43" t="s">
        <v>20</v>
      </c>
      <c r="E467" s="43" t="s">
        <v>25</v>
      </c>
      <c r="F467" s="47">
        <v>42192</v>
      </c>
      <c r="G467" s="43">
        <f t="shared" si="7"/>
        <v>2015</v>
      </c>
      <c r="H467" s="43">
        <v>11.1</v>
      </c>
      <c r="I467" s="48">
        <v>51000</v>
      </c>
      <c r="J467" s="44">
        <v>6.7</v>
      </c>
      <c r="K467" s="43" t="s">
        <v>16</v>
      </c>
      <c r="L467" s="43"/>
      <c r="M467" s="43"/>
    </row>
    <row r="468" spans="1:13">
      <c r="A468" s="43" t="s">
        <v>784</v>
      </c>
      <c r="B468" s="43" t="s">
        <v>785</v>
      </c>
      <c r="C468" s="43" t="s">
        <v>13</v>
      </c>
      <c r="D468" s="43" t="s">
        <v>42</v>
      </c>
      <c r="E468" s="43" t="s">
        <v>53</v>
      </c>
      <c r="F468" s="47">
        <v>43103</v>
      </c>
      <c r="G468" s="43">
        <f t="shared" si="7"/>
        <v>2018</v>
      </c>
      <c r="H468" s="43">
        <v>8.6</v>
      </c>
      <c r="I468" s="48">
        <v>94000</v>
      </c>
      <c r="J468" s="44">
        <v>7.4</v>
      </c>
      <c r="K468" s="43" t="s">
        <v>16</v>
      </c>
      <c r="L468" s="43"/>
      <c r="M468" s="43"/>
    </row>
    <row r="469" spans="1:13">
      <c r="A469" s="43" t="s">
        <v>786</v>
      </c>
      <c r="B469" s="43" t="s">
        <v>787</v>
      </c>
      <c r="C469" s="43" t="s">
        <v>13</v>
      </c>
      <c r="D469" s="43" t="s">
        <v>31</v>
      </c>
      <c r="E469" s="43" t="s">
        <v>21</v>
      </c>
      <c r="F469" s="47">
        <v>43584</v>
      </c>
      <c r="G469" s="43">
        <f t="shared" si="7"/>
        <v>2019</v>
      </c>
      <c r="H469" s="43">
        <v>7.3</v>
      </c>
      <c r="I469" s="48">
        <v>76000</v>
      </c>
      <c r="J469" s="44">
        <v>6.4</v>
      </c>
      <c r="K469" s="43" t="s">
        <v>16</v>
      </c>
      <c r="L469" s="43"/>
      <c r="M469" s="43"/>
    </row>
    <row r="470" spans="1:13">
      <c r="A470" s="43" t="s">
        <v>788</v>
      </c>
      <c r="B470" s="43" t="s">
        <v>789</v>
      </c>
      <c r="C470" s="43" t="s">
        <v>19</v>
      </c>
      <c r="D470" s="43" t="s">
        <v>20</v>
      </c>
      <c r="E470" s="43" t="s">
        <v>15</v>
      </c>
      <c r="F470" s="47">
        <v>44980</v>
      </c>
      <c r="G470" s="43">
        <f t="shared" si="7"/>
        <v>2023</v>
      </c>
      <c r="H470" s="43">
        <v>3.5</v>
      </c>
      <c r="I470" s="48">
        <v>57000</v>
      </c>
      <c r="J470" s="44">
        <v>9.6</v>
      </c>
      <c r="K470" s="43" t="s">
        <v>16</v>
      </c>
      <c r="L470" s="43"/>
      <c r="M470" s="43"/>
    </row>
    <row r="471" spans="1:13">
      <c r="A471" s="43" t="s">
        <v>790</v>
      </c>
      <c r="B471" s="43" t="s">
        <v>177</v>
      </c>
      <c r="C471" s="43" t="s">
        <v>19</v>
      </c>
      <c r="D471" s="43" t="s">
        <v>68</v>
      </c>
      <c r="E471" s="43" t="s">
        <v>15</v>
      </c>
      <c r="F471" s="47">
        <v>43560</v>
      </c>
      <c r="G471" s="43">
        <f t="shared" si="7"/>
        <v>2019</v>
      </c>
      <c r="H471" s="43">
        <v>7.4</v>
      </c>
      <c r="I471" s="48">
        <v>83000</v>
      </c>
      <c r="J471" s="44">
        <v>7.3</v>
      </c>
      <c r="K471" s="43" t="s">
        <v>16</v>
      </c>
      <c r="L471" s="43"/>
      <c r="M471" s="43"/>
    </row>
    <row r="472" spans="1:13">
      <c r="A472" s="43" t="s">
        <v>791</v>
      </c>
      <c r="B472" s="43" t="s">
        <v>792</v>
      </c>
      <c r="C472" s="43" t="s">
        <v>13</v>
      </c>
      <c r="D472" s="43" t="s">
        <v>20</v>
      </c>
      <c r="E472" s="43" t="s">
        <v>21</v>
      </c>
      <c r="F472" s="47">
        <v>42193</v>
      </c>
      <c r="G472" s="43">
        <f t="shared" si="7"/>
        <v>2015</v>
      </c>
      <c r="H472" s="43">
        <v>11.1</v>
      </c>
      <c r="I472" s="48">
        <v>58000</v>
      </c>
      <c r="J472" s="44">
        <v>7.4</v>
      </c>
      <c r="K472" s="43" t="s">
        <v>16</v>
      </c>
      <c r="L472" s="43"/>
      <c r="M472" s="43"/>
    </row>
    <row r="473" spans="1:13">
      <c r="A473" s="43" t="s">
        <v>793</v>
      </c>
      <c r="B473" s="43" t="s">
        <v>227</v>
      </c>
      <c r="C473" s="43" t="s">
        <v>13</v>
      </c>
      <c r="D473" s="43" t="s">
        <v>59</v>
      </c>
      <c r="E473" s="43" t="s">
        <v>56</v>
      </c>
      <c r="F473" s="47">
        <v>44874</v>
      </c>
      <c r="G473" s="43">
        <f t="shared" si="7"/>
        <v>2022</v>
      </c>
      <c r="H473" s="43">
        <v>3.8</v>
      </c>
      <c r="I473" s="48">
        <v>79000</v>
      </c>
      <c r="J473" s="44">
        <v>8.5</v>
      </c>
      <c r="K473" s="43" t="s">
        <v>16</v>
      </c>
      <c r="L473" s="43"/>
      <c r="M473" s="43"/>
    </row>
    <row r="474" spans="1:13">
      <c r="A474" s="43" t="s">
        <v>794</v>
      </c>
      <c r="B474" s="43" t="s">
        <v>795</v>
      </c>
      <c r="C474" s="43" t="s">
        <v>13</v>
      </c>
      <c r="D474" s="43" t="s">
        <v>68</v>
      </c>
      <c r="E474" s="43" t="s">
        <v>56</v>
      </c>
      <c r="F474" s="47">
        <v>42613</v>
      </c>
      <c r="G474" s="43">
        <f t="shared" si="7"/>
        <v>2016</v>
      </c>
      <c r="H474" s="43">
        <v>10</v>
      </c>
      <c r="I474" s="48">
        <v>109000</v>
      </c>
      <c r="J474" s="44">
        <v>8.7</v>
      </c>
      <c r="K474" s="43" t="s">
        <v>16</v>
      </c>
      <c r="L474" s="43"/>
      <c r="M474" s="43"/>
    </row>
    <row r="475" spans="1:13">
      <c r="A475" s="43" t="s">
        <v>796</v>
      </c>
      <c r="B475" s="43" t="s">
        <v>797</v>
      </c>
      <c r="C475" s="43" t="s">
        <v>13</v>
      </c>
      <c r="D475" s="43" t="s">
        <v>28</v>
      </c>
      <c r="E475" s="43" t="s">
        <v>56</v>
      </c>
      <c r="F475" s="47">
        <v>42682</v>
      </c>
      <c r="G475" s="43">
        <f t="shared" si="7"/>
        <v>2016</v>
      </c>
      <c r="H475" s="43">
        <v>9.8</v>
      </c>
      <c r="I475" s="48">
        <v>54000</v>
      </c>
      <c r="J475" s="44">
        <v>6.5</v>
      </c>
      <c r="K475" s="43" t="s">
        <v>16</v>
      </c>
      <c r="L475" s="43"/>
      <c r="M475" s="43"/>
    </row>
    <row r="476" spans="1:13">
      <c r="A476" s="43" t="s">
        <v>798</v>
      </c>
      <c r="B476" s="43" t="s">
        <v>739</v>
      </c>
      <c r="C476" s="43" t="s">
        <v>19</v>
      </c>
      <c r="D476" s="43" t="s">
        <v>31</v>
      </c>
      <c r="E476" s="43" t="s">
        <v>15</v>
      </c>
      <c r="F476" s="47">
        <v>42917</v>
      </c>
      <c r="G476" s="43">
        <f t="shared" si="7"/>
        <v>2017</v>
      </c>
      <c r="H476" s="43">
        <v>9.1</v>
      </c>
      <c r="I476" s="48">
        <v>67000</v>
      </c>
      <c r="J476" s="44">
        <v>6.8</v>
      </c>
      <c r="K476" s="43" t="s">
        <v>16</v>
      </c>
      <c r="L476" s="43"/>
      <c r="M476" s="43"/>
    </row>
    <row r="477" spans="1:13">
      <c r="A477" s="43" t="s">
        <v>799</v>
      </c>
      <c r="B477" s="43" t="s">
        <v>337</v>
      </c>
      <c r="C477" s="43" t="s">
        <v>19</v>
      </c>
      <c r="D477" s="43" t="s">
        <v>24</v>
      </c>
      <c r="E477" s="43" t="s">
        <v>15</v>
      </c>
      <c r="F477" s="47">
        <v>44046</v>
      </c>
      <c r="G477" s="43">
        <f t="shared" si="7"/>
        <v>2020</v>
      </c>
      <c r="H477" s="43">
        <v>6.1</v>
      </c>
      <c r="I477" s="48">
        <v>97000</v>
      </c>
      <c r="J477" s="44">
        <v>6.6</v>
      </c>
      <c r="K477" s="43" t="s">
        <v>16</v>
      </c>
      <c r="L477" s="43"/>
      <c r="M477" s="43"/>
    </row>
    <row r="478" spans="1:13">
      <c r="A478" s="43" t="s">
        <v>800</v>
      </c>
      <c r="B478" s="43" t="s">
        <v>521</v>
      </c>
      <c r="C478" s="43" t="s">
        <v>19</v>
      </c>
      <c r="D478" s="43" t="s">
        <v>20</v>
      </c>
      <c r="E478" s="43" t="s">
        <v>21</v>
      </c>
      <c r="F478" s="47">
        <v>42151</v>
      </c>
      <c r="G478" s="43">
        <f t="shared" si="7"/>
        <v>2015</v>
      </c>
      <c r="H478" s="43">
        <v>11.2</v>
      </c>
      <c r="I478" s="48">
        <v>121000</v>
      </c>
      <c r="J478" s="44">
        <v>5.5</v>
      </c>
      <c r="K478" s="43" t="s">
        <v>16</v>
      </c>
      <c r="L478" s="43"/>
      <c r="M478" s="43"/>
    </row>
    <row r="479" spans="1:13">
      <c r="A479" s="43" t="s">
        <v>801</v>
      </c>
      <c r="B479" s="43" t="s">
        <v>802</v>
      </c>
      <c r="C479" s="43" t="s">
        <v>19</v>
      </c>
      <c r="D479" s="43" t="s">
        <v>24</v>
      </c>
      <c r="E479" s="43" t="s">
        <v>56</v>
      </c>
      <c r="F479" s="47">
        <v>43873</v>
      </c>
      <c r="G479" s="43">
        <f t="shared" si="7"/>
        <v>2020</v>
      </c>
      <c r="H479" s="43">
        <v>6.5</v>
      </c>
      <c r="I479" s="48">
        <v>83000</v>
      </c>
      <c r="J479" s="44">
        <v>6.9</v>
      </c>
      <c r="K479" s="43" t="s">
        <v>16</v>
      </c>
      <c r="L479" s="43"/>
      <c r="M479" s="43"/>
    </row>
    <row r="480" spans="1:13">
      <c r="A480" s="43" t="s">
        <v>803</v>
      </c>
      <c r="B480" s="43" t="s">
        <v>197</v>
      </c>
      <c r="C480" s="43" t="s">
        <v>13</v>
      </c>
      <c r="D480" s="43" t="s">
        <v>42</v>
      </c>
      <c r="E480" s="43" t="s">
        <v>21</v>
      </c>
      <c r="F480" s="47">
        <v>45148</v>
      </c>
      <c r="G480" s="43">
        <f t="shared" si="7"/>
        <v>2023</v>
      </c>
      <c r="H480" s="43">
        <v>3</v>
      </c>
      <c r="I480" s="48">
        <v>77000</v>
      </c>
      <c r="J480" s="44">
        <v>6.1</v>
      </c>
      <c r="K480" s="43" t="s">
        <v>16</v>
      </c>
      <c r="L480" s="43"/>
      <c r="M480" s="43"/>
    </row>
    <row r="481" spans="1:13">
      <c r="A481" s="43" t="s">
        <v>804</v>
      </c>
      <c r="B481" s="43" t="s">
        <v>27</v>
      </c>
      <c r="C481" s="43" t="s">
        <v>19</v>
      </c>
      <c r="D481" s="43" t="s">
        <v>68</v>
      </c>
      <c r="E481" s="43" t="s">
        <v>21</v>
      </c>
      <c r="F481" s="47">
        <v>43403</v>
      </c>
      <c r="G481" s="43">
        <f t="shared" si="7"/>
        <v>2018</v>
      </c>
      <c r="H481" s="43">
        <v>7.8</v>
      </c>
      <c r="I481" s="48">
        <v>83000</v>
      </c>
      <c r="J481" s="44">
        <v>6.5</v>
      </c>
      <c r="K481" s="43" t="s">
        <v>16</v>
      </c>
      <c r="L481" s="43"/>
      <c r="M481" s="43"/>
    </row>
    <row r="482" spans="1:13">
      <c r="A482" s="43" t="s">
        <v>805</v>
      </c>
      <c r="B482" s="43" t="s">
        <v>806</v>
      </c>
      <c r="C482" s="43" t="s">
        <v>19</v>
      </c>
      <c r="D482" s="43" t="s">
        <v>28</v>
      </c>
      <c r="E482" s="43" t="s">
        <v>15</v>
      </c>
      <c r="F482" s="47">
        <v>45678</v>
      </c>
      <c r="G482" s="43">
        <f t="shared" si="7"/>
        <v>2025</v>
      </c>
      <c r="H482" s="43">
        <v>1.6</v>
      </c>
      <c r="I482" s="48">
        <v>66000</v>
      </c>
      <c r="J482" s="44">
        <v>5.5</v>
      </c>
      <c r="K482" s="43" t="s">
        <v>16</v>
      </c>
      <c r="L482" s="43"/>
      <c r="M482" s="43"/>
    </row>
    <row r="483" spans="1:13">
      <c r="A483" s="43" t="s">
        <v>807</v>
      </c>
      <c r="B483" s="43" t="s">
        <v>55</v>
      </c>
      <c r="C483" s="43" t="s">
        <v>19</v>
      </c>
      <c r="D483" s="43" t="s">
        <v>68</v>
      </c>
      <c r="E483" s="43" t="s">
        <v>15</v>
      </c>
      <c r="F483" s="47">
        <v>45815</v>
      </c>
      <c r="G483" s="43">
        <f t="shared" si="7"/>
        <v>2025</v>
      </c>
      <c r="H483" s="43">
        <v>1.2</v>
      </c>
      <c r="I483" s="48">
        <v>88000</v>
      </c>
      <c r="J483" s="44">
        <v>7.6</v>
      </c>
      <c r="K483" s="43" t="s">
        <v>16</v>
      </c>
      <c r="L483" s="43"/>
      <c r="M483" s="43"/>
    </row>
    <row r="484" spans="1:13">
      <c r="A484" s="43" t="s">
        <v>808</v>
      </c>
      <c r="B484" s="43" t="s">
        <v>106</v>
      </c>
      <c r="C484" s="43" t="s">
        <v>13</v>
      </c>
      <c r="D484" s="43" t="s">
        <v>20</v>
      </c>
      <c r="E484" s="43" t="s">
        <v>21</v>
      </c>
      <c r="F484" s="47">
        <v>45800</v>
      </c>
      <c r="G484" s="43">
        <f t="shared" si="7"/>
        <v>2025</v>
      </c>
      <c r="H484" s="43">
        <v>1.3</v>
      </c>
      <c r="I484" s="48">
        <v>131000</v>
      </c>
      <c r="J484" s="44">
        <v>8.3</v>
      </c>
      <c r="K484" s="43" t="s">
        <v>16</v>
      </c>
      <c r="L484" s="43"/>
      <c r="M484" s="43"/>
    </row>
    <row r="485" spans="1:13">
      <c r="A485" s="43" t="s">
        <v>809</v>
      </c>
      <c r="B485" s="43" t="s">
        <v>296</v>
      </c>
      <c r="C485" s="43" t="s">
        <v>19</v>
      </c>
      <c r="D485" s="43" t="s">
        <v>24</v>
      </c>
      <c r="E485" s="43" t="s">
        <v>56</v>
      </c>
      <c r="F485" s="47">
        <v>45952</v>
      </c>
      <c r="G485" s="43">
        <f t="shared" si="7"/>
        <v>2025</v>
      </c>
      <c r="H485" s="43">
        <v>0.8</v>
      </c>
      <c r="I485" s="48">
        <v>103000</v>
      </c>
      <c r="J485" s="44">
        <v>6.2</v>
      </c>
      <c r="K485" s="43" t="s">
        <v>16</v>
      </c>
      <c r="L485" s="43"/>
      <c r="M485" s="43"/>
    </row>
    <row r="486" spans="1:13">
      <c r="A486" s="43" t="s">
        <v>810</v>
      </c>
      <c r="B486" s="43" t="s">
        <v>507</v>
      </c>
      <c r="C486" s="43" t="s">
        <v>13</v>
      </c>
      <c r="D486" s="43" t="s">
        <v>42</v>
      </c>
      <c r="E486" s="43" t="s">
        <v>56</v>
      </c>
      <c r="F486" s="47">
        <v>44087</v>
      </c>
      <c r="G486" s="43">
        <f t="shared" si="7"/>
        <v>2020</v>
      </c>
      <c r="H486" s="43">
        <v>5.9</v>
      </c>
      <c r="I486" s="48">
        <v>87000</v>
      </c>
      <c r="J486" s="44">
        <v>8.1</v>
      </c>
      <c r="K486" s="43" t="s">
        <v>16</v>
      </c>
      <c r="L486" s="43"/>
      <c r="M486" s="43"/>
    </row>
    <row r="487" spans="1:13">
      <c r="A487" s="43" t="s">
        <v>811</v>
      </c>
      <c r="B487" s="43" t="s">
        <v>724</v>
      </c>
      <c r="C487" s="43" t="s">
        <v>13</v>
      </c>
      <c r="D487" s="43" t="s">
        <v>68</v>
      </c>
      <c r="E487" s="43" t="s">
        <v>56</v>
      </c>
      <c r="F487" s="47">
        <v>43323</v>
      </c>
      <c r="G487" s="43">
        <f t="shared" si="7"/>
        <v>2018</v>
      </c>
      <c r="H487" s="43">
        <v>8</v>
      </c>
      <c r="I487" s="48">
        <v>102000</v>
      </c>
      <c r="J487" s="44">
        <v>7.2</v>
      </c>
      <c r="K487" s="43" t="s">
        <v>92</v>
      </c>
      <c r="L487" s="43"/>
      <c r="M487" s="43"/>
    </row>
    <row r="488" spans="1:13">
      <c r="A488" s="43" t="s">
        <v>812</v>
      </c>
      <c r="B488" s="43" t="s">
        <v>116</v>
      </c>
      <c r="C488" s="43" t="s">
        <v>19</v>
      </c>
      <c r="D488" s="43" t="s">
        <v>42</v>
      </c>
      <c r="E488" s="43" t="s">
        <v>21</v>
      </c>
      <c r="F488" s="47">
        <v>45951</v>
      </c>
      <c r="G488" s="43">
        <f t="shared" si="7"/>
        <v>2025</v>
      </c>
      <c r="H488" s="43">
        <v>0.8</v>
      </c>
      <c r="I488" s="48">
        <v>59000</v>
      </c>
      <c r="J488" s="44">
        <v>8.7</v>
      </c>
      <c r="K488" s="43" t="s">
        <v>16</v>
      </c>
      <c r="L488" s="43"/>
      <c r="M488" s="43"/>
    </row>
    <row r="489" spans="1:13">
      <c r="A489" s="43" t="s">
        <v>813</v>
      </c>
      <c r="B489" s="43" t="s">
        <v>116</v>
      </c>
      <c r="C489" s="43" t="s">
        <v>19</v>
      </c>
      <c r="D489" s="43" t="s">
        <v>42</v>
      </c>
      <c r="E489" s="43" t="s">
        <v>56</v>
      </c>
      <c r="F489" s="47">
        <v>45458</v>
      </c>
      <c r="G489" s="43">
        <f t="shared" si="7"/>
        <v>2024</v>
      </c>
      <c r="H489" s="43">
        <v>2.2</v>
      </c>
      <c r="I489" s="48">
        <v>82000</v>
      </c>
      <c r="J489" s="44">
        <v>7.3</v>
      </c>
      <c r="K489" s="43" t="s">
        <v>16</v>
      </c>
      <c r="L489" s="43"/>
      <c r="M489" s="43"/>
    </row>
    <row r="490" spans="1:13">
      <c r="A490" s="43" t="s">
        <v>814</v>
      </c>
      <c r="B490" s="43" t="s">
        <v>408</v>
      </c>
      <c r="C490" s="43" t="s">
        <v>19</v>
      </c>
      <c r="D490" s="43" t="s">
        <v>31</v>
      </c>
      <c r="E490" s="43" t="s">
        <v>56</v>
      </c>
      <c r="F490" s="47">
        <v>42827</v>
      </c>
      <c r="G490" s="43">
        <f t="shared" si="7"/>
        <v>2017</v>
      </c>
      <c r="H490" s="43">
        <v>9.4</v>
      </c>
      <c r="I490" s="48">
        <v>45000</v>
      </c>
      <c r="J490" s="44">
        <v>6.9</v>
      </c>
      <c r="K490" s="43" t="s">
        <v>16</v>
      </c>
      <c r="L490" s="43"/>
      <c r="M490" s="43"/>
    </row>
    <row r="491" spans="1:13">
      <c r="A491" s="43" t="s">
        <v>815</v>
      </c>
      <c r="B491" s="43" t="s">
        <v>816</v>
      </c>
      <c r="C491" s="43" t="s">
        <v>13</v>
      </c>
      <c r="D491" s="43" t="s">
        <v>31</v>
      </c>
      <c r="E491" s="43" t="s">
        <v>15</v>
      </c>
      <c r="F491" s="47">
        <v>44227</v>
      </c>
      <c r="G491" s="43">
        <f t="shared" si="7"/>
        <v>2021</v>
      </c>
      <c r="H491" s="43">
        <v>5.6</v>
      </c>
      <c r="I491" s="48">
        <v>76000</v>
      </c>
      <c r="J491" s="44">
        <v>6.9</v>
      </c>
      <c r="K491" s="43" t="s">
        <v>16</v>
      </c>
      <c r="L491" s="43"/>
      <c r="M491" s="43"/>
    </row>
    <row r="492" spans="1:13">
      <c r="A492" s="43" t="s">
        <v>817</v>
      </c>
      <c r="B492" s="43" t="s">
        <v>818</v>
      </c>
      <c r="C492" s="43" t="s">
        <v>13</v>
      </c>
      <c r="D492" s="43" t="s">
        <v>24</v>
      </c>
      <c r="E492" s="43" t="s">
        <v>56</v>
      </c>
      <c r="F492" s="47">
        <v>45866</v>
      </c>
      <c r="G492" s="43">
        <f t="shared" si="7"/>
        <v>2025</v>
      </c>
      <c r="H492" s="43">
        <v>1.1</v>
      </c>
      <c r="I492" s="48">
        <v>93000</v>
      </c>
      <c r="J492" s="44">
        <v>6.4</v>
      </c>
      <c r="K492" s="43" t="s">
        <v>16</v>
      </c>
      <c r="L492" s="43"/>
      <c r="M492" s="43"/>
    </row>
    <row r="493" spans="1:13">
      <c r="A493" s="43" t="s">
        <v>819</v>
      </c>
      <c r="B493" s="43" t="s">
        <v>601</v>
      </c>
      <c r="C493" s="43" t="s">
        <v>19</v>
      </c>
      <c r="D493" s="43" t="s">
        <v>24</v>
      </c>
      <c r="E493" s="43" t="s">
        <v>15</v>
      </c>
      <c r="F493" s="47">
        <v>42600</v>
      </c>
      <c r="G493" s="43">
        <f t="shared" si="7"/>
        <v>2016</v>
      </c>
      <c r="H493" s="43">
        <v>10</v>
      </c>
      <c r="I493" s="48">
        <v>46000</v>
      </c>
      <c r="J493" s="44">
        <v>5.4</v>
      </c>
      <c r="K493" s="43" t="s">
        <v>16</v>
      </c>
      <c r="L493" s="43"/>
      <c r="M493" s="43"/>
    </row>
    <row r="494" spans="1:13">
      <c r="A494" s="43" t="s">
        <v>820</v>
      </c>
      <c r="B494" s="43" t="s">
        <v>821</v>
      </c>
      <c r="C494" s="43" t="s">
        <v>13</v>
      </c>
      <c r="D494" s="43" t="s">
        <v>42</v>
      </c>
      <c r="E494" s="43" t="s">
        <v>53</v>
      </c>
      <c r="F494" s="47">
        <v>44804</v>
      </c>
      <c r="G494" s="43">
        <f t="shared" si="7"/>
        <v>2022</v>
      </c>
      <c r="H494" s="43">
        <v>4</v>
      </c>
      <c r="I494" s="48">
        <v>54000</v>
      </c>
      <c r="J494" s="44">
        <v>7.7</v>
      </c>
      <c r="K494" s="43" t="s">
        <v>16</v>
      </c>
      <c r="L494" s="43"/>
      <c r="M494" s="43"/>
    </row>
    <row r="495" spans="1:13">
      <c r="A495" s="43" t="s">
        <v>822</v>
      </c>
      <c r="B495" s="43" t="s">
        <v>65</v>
      </c>
      <c r="C495" s="43" t="s">
        <v>13</v>
      </c>
      <c r="D495" s="43" t="s">
        <v>20</v>
      </c>
      <c r="E495" s="43" t="s">
        <v>25</v>
      </c>
      <c r="F495" s="47">
        <v>42424</v>
      </c>
      <c r="G495" s="43">
        <f t="shared" si="7"/>
        <v>2016</v>
      </c>
      <c r="H495" s="43">
        <v>10.5</v>
      </c>
      <c r="I495" s="48">
        <v>128000</v>
      </c>
      <c r="J495" s="44">
        <v>7.8</v>
      </c>
      <c r="K495" s="43" t="s">
        <v>16</v>
      </c>
      <c r="L495" s="43"/>
      <c r="M495" s="43"/>
    </row>
    <row r="496" spans="1:13">
      <c r="A496" s="43" t="s">
        <v>823</v>
      </c>
      <c r="B496" s="43" t="s">
        <v>521</v>
      </c>
      <c r="C496" s="43" t="s">
        <v>13</v>
      </c>
      <c r="D496" s="43" t="s">
        <v>24</v>
      </c>
      <c r="E496" s="43" t="s">
        <v>21</v>
      </c>
      <c r="F496" s="47">
        <v>45217</v>
      </c>
      <c r="G496" s="43">
        <f t="shared" si="7"/>
        <v>2023</v>
      </c>
      <c r="H496" s="43">
        <v>2.9</v>
      </c>
      <c r="I496" s="48">
        <v>76000</v>
      </c>
      <c r="J496" s="44">
        <v>7.4</v>
      </c>
      <c r="K496" s="43" t="s">
        <v>16</v>
      </c>
      <c r="L496" s="43"/>
      <c r="M496" s="43"/>
    </row>
    <row r="497" spans="1:13">
      <c r="A497" s="43" t="s">
        <v>824</v>
      </c>
      <c r="B497" s="43" t="s">
        <v>50</v>
      </c>
      <c r="C497" s="43" t="s">
        <v>19</v>
      </c>
      <c r="D497" s="43" t="s">
        <v>59</v>
      </c>
      <c r="E497" s="43" t="s">
        <v>56</v>
      </c>
      <c r="F497" s="47">
        <v>42058</v>
      </c>
      <c r="G497" s="43">
        <f t="shared" si="7"/>
        <v>2015</v>
      </c>
      <c r="H497" s="43">
        <v>11.5</v>
      </c>
      <c r="I497" s="48">
        <v>87000</v>
      </c>
      <c r="J497" s="44">
        <v>7.2</v>
      </c>
      <c r="K497" s="43" t="s">
        <v>16</v>
      </c>
      <c r="L497" s="43"/>
      <c r="M497" s="43"/>
    </row>
    <row r="498" spans="1:13">
      <c r="A498" s="43" t="s">
        <v>825</v>
      </c>
      <c r="B498" s="43" t="s">
        <v>197</v>
      </c>
      <c r="C498" s="43" t="s">
        <v>19</v>
      </c>
      <c r="D498" s="43" t="s">
        <v>31</v>
      </c>
      <c r="E498" s="43" t="s">
        <v>25</v>
      </c>
      <c r="F498" s="47">
        <v>44657</v>
      </c>
      <c r="G498" s="43">
        <f t="shared" si="7"/>
        <v>2022</v>
      </c>
      <c r="H498" s="43">
        <v>4.4</v>
      </c>
      <c r="I498" s="48">
        <v>55000</v>
      </c>
      <c r="J498" s="44">
        <v>7.5</v>
      </c>
      <c r="K498" s="43" t="s">
        <v>16</v>
      </c>
      <c r="L498" s="43"/>
      <c r="M498" s="43"/>
    </row>
    <row r="499" spans="1:13">
      <c r="A499" s="43" t="s">
        <v>826</v>
      </c>
      <c r="B499" s="43" t="s">
        <v>420</v>
      </c>
      <c r="C499" s="43" t="s">
        <v>13</v>
      </c>
      <c r="D499" s="43" t="s">
        <v>20</v>
      </c>
      <c r="E499" s="43" t="s">
        <v>25</v>
      </c>
      <c r="F499" s="47">
        <v>42770</v>
      </c>
      <c r="G499" s="43">
        <f t="shared" si="7"/>
        <v>2017</v>
      </c>
      <c r="H499" s="43">
        <v>9.6</v>
      </c>
      <c r="I499" s="48">
        <v>72000</v>
      </c>
      <c r="J499" s="44">
        <v>6.1</v>
      </c>
      <c r="K499" s="43" t="s">
        <v>16</v>
      </c>
      <c r="L499" s="43"/>
      <c r="M499" s="43"/>
    </row>
    <row r="500" spans="1:13">
      <c r="A500" s="43" t="s">
        <v>827</v>
      </c>
      <c r="B500" s="43" t="s">
        <v>828</v>
      </c>
      <c r="C500" s="43" t="s">
        <v>13</v>
      </c>
      <c r="D500" s="43" t="s">
        <v>28</v>
      </c>
      <c r="E500" s="43" t="s">
        <v>56</v>
      </c>
      <c r="F500" s="47">
        <v>42537</v>
      </c>
      <c r="G500" s="43">
        <f t="shared" si="7"/>
        <v>2016</v>
      </c>
      <c r="H500" s="43">
        <v>10.2</v>
      </c>
      <c r="I500" s="48">
        <v>65000</v>
      </c>
      <c r="J500" s="44">
        <v>6.8</v>
      </c>
      <c r="K500" s="43" t="s">
        <v>16</v>
      </c>
      <c r="L500" s="43"/>
      <c r="M500" s="43"/>
    </row>
    <row r="501" spans="1:13">
      <c r="A501" s="43" t="s">
        <v>829</v>
      </c>
      <c r="B501" s="43" t="s">
        <v>215</v>
      </c>
      <c r="C501" s="43" t="s">
        <v>13</v>
      </c>
      <c r="D501" s="43" t="s">
        <v>31</v>
      </c>
      <c r="E501" s="43" t="s">
        <v>56</v>
      </c>
      <c r="F501" s="47">
        <v>45173</v>
      </c>
      <c r="G501" s="43">
        <f t="shared" si="7"/>
        <v>2023</v>
      </c>
      <c r="H501" s="43">
        <v>3</v>
      </c>
      <c r="I501" s="48">
        <v>72000</v>
      </c>
      <c r="J501" s="44">
        <v>7.1</v>
      </c>
      <c r="K501" s="43" t="s">
        <v>16</v>
      </c>
      <c r="L501" s="43"/>
      <c r="M501" s="43"/>
    </row>
  </sheetData>
  <autoFilter xmlns:etc="http://www.wps.cn/officeDocument/2017/etCustomData" ref="A1:K501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Q118"/>
  <sheetViews>
    <sheetView topLeftCell="H1" workbookViewId="0">
      <selection activeCell="I11" sqref="I7:J118"/>
    </sheetView>
  </sheetViews>
  <sheetFormatPr defaultColWidth="9.14285714285714" defaultRowHeight="15"/>
  <cols>
    <col min="3" max="3" width="12.1428571428571"/>
    <col min="4" max="4" width="26.5714285714286"/>
    <col min="5" max="5" width="31.1428571428571"/>
    <col min="6" max="6" width="22.4285714285714"/>
    <col min="7" max="7" width="26.5714285714286"/>
    <col min="8" max="8" width="14.4285714285714" customWidth="1"/>
    <col min="9" max="9" width="20.1428571428571"/>
    <col min="10" max="10" width="22.7142857142857"/>
    <col min="11" max="11" width="16.2857142857143"/>
    <col min="13" max="13" width="18.7142857142857"/>
    <col min="14" max="14" width="17.5714285714286" customWidth="1"/>
    <col min="15" max="15" width="16.4285714285714" customWidth="1"/>
    <col min="16" max="16" width="16.5714285714286"/>
    <col min="17" max="17" width="24.1428571428571"/>
  </cols>
  <sheetData>
    <row r="2" spans="3:17">
      <c r="O2" s="29" t="s">
        <v>830</v>
      </c>
      <c r="P2" s="30"/>
      <c r="Q2" s="30"/>
    </row>
    <row r="3" spans="3:17">
      <c r="C3" t="s">
        <v>831</v>
      </c>
      <c r="E3" s="31" t="s">
        <v>832</v>
      </c>
      <c r="G3" s="31" t="s">
        <v>833</v>
      </c>
      <c r="I3" t="s">
        <v>834</v>
      </c>
      <c r="K3" t="s">
        <v>835</v>
      </c>
      <c r="M3" t="s">
        <v>836</v>
      </c>
      <c r="O3" s="32" t="s">
        <v>1</v>
      </c>
      <c r="P3" s="32" t="s">
        <v>3</v>
      </c>
      <c r="Q3" s="32" t="s">
        <v>837</v>
      </c>
    </row>
    <row r="4" spans="3:17">
      <c r="C4">
        <v>500</v>
      </c>
      <c r="E4">
        <f>HR_Data!M6</f>
        <v>448</v>
      </c>
      <c r="G4">
        <f>HR_Data!M7</f>
        <v>52</v>
      </c>
      <c r="I4" s="12">
        <v>77126</v>
      </c>
      <c r="K4" s="13">
        <v>6.1982</v>
      </c>
      <c r="M4" s="13">
        <v>7.5008</v>
      </c>
      <c r="O4" s="32" t="s">
        <v>12</v>
      </c>
      <c r="P4" s="32"/>
      <c r="Q4" s="32">
        <v>12</v>
      </c>
    </row>
    <row r="5" spans="3:17">
      <c r="O5" s="32"/>
      <c r="P5" s="32" t="s">
        <v>14</v>
      </c>
      <c r="Q5" s="32">
        <v>12</v>
      </c>
    </row>
    <row r="6" spans="3:17">
      <c r="O6" s="32" t="s">
        <v>248</v>
      </c>
      <c r="P6" s="32"/>
      <c r="Q6" s="32">
        <v>10</v>
      </c>
    </row>
    <row r="7" spans="3:17">
      <c r="C7" t="s">
        <v>3</v>
      </c>
      <c r="D7" t="s">
        <v>838</v>
      </c>
      <c r="F7" t="s">
        <v>10</v>
      </c>
      <c r="G7" t="s">
        <v>838</v>
      </c>
      <c r="I7" t="s">
        <v>7</v>
      </c>
      <c r="J7" t="s">
        <v>839</v>
      </c>
      <c r="O7" s="32"/>
      <c r="P7" s="32" t="s">
        <v>20</v>
      </c>
      <c r="Q7" s="32">
        <v>10</v>
      </c>
    </row>
    <row r="8" spans="3:17">
      <c r="C8" t="s">
        <v>14</v>
      </c>
      <c r="D8">
        <v>1</v>
      </c>
      <c r="F8" t="s">
        <v>16</v>
      </c>
      <c r="G8">
        <v>448</v>
      </c>
      <c r="I8">
        <v>3.4</v>
      </c>
      <c r="J8">
        <v>4</v>
      </c>
      <c r="O8" s="32" t="s">
        <v>271</v>
      </c>
      <c r="P8" s="32"/>
      <c r="Q8" s="32">
        <v>9.6</v>
      </c>
    </row>
    <row r="9" spans="3:17">
      <c r="C9" t="s">
        <v>31</v>
      </c>
      <c r="D9">
        <v>49</v>
      </c>
      <c r="F9" t="s">
        <v>92</v>
      </c>
      <c r="G9">
        <v>52</v>
      </c>
      <c r="I9">
        <v>4.9</v>
      </c>
      <c r="J9">
        <v>6</v>
      </c>
      <c r="O9" s="32"/>
      <c r="P9" s="32" t="s">
        <v>68</v>
      </c>
      <c r="Q9" s="32">
        <v>9.6</v>
      </c>
    </row>
    <row r="10" spans="3:17">
      <c r="C10" t="s">
        <v>59</v>
      </c>
      <c r="D10">
        <v>61</v>
      </c>
      <c r="F10" t="s">
        <v>840</v>
      </c>
      <c r="G10">
        <v>500</v>
      </c>
      <c r="I10">
        <v>11.6</v>
      </c>
      <c r="J10">
        <v>6</v>
      </c>
      <c r="O10" s="32" t="s">
        <v>789</v>
      </c>
      <c r="P10" s="32"/>
      <c r="Q10" s="32">
        <v>9.6</v>
      </c>
    </row>
    <row r="11" spans="3:17">
      <c r="C11" t="s">
        <v>28</v>
      </c>
      <c r="D11">
        <v>64</v>
      </c>
      <c r="I11">
        <v>7.8</v>
      </c>
      <c r="J11">
        <v>6</v>
      </c>
      <c r="O11" s="32"/>
      <c r="P11" s="32" t="s">
        <v>20</v>
      </c>
      <c r="Q11" s="32">
        <v>9.6</v>
      </c>
    </row>
    <row r="12" spans="3:17">
      <c r="C12" t="s">
        <v>24</v>
      </c>
      <c r="D12">
        <v>67</v>
      </c>
      <c r="I12">
        <v>5.5</v>
      </c>
      <c r="J12">
        <v>6</v>
      </c>
      <c r="O12" s="32" t="s">
        <v>746</v>
      </c>
      <c r="P12" s="32"/>
      <c r="Q12" s="32">
        <v>9.5</v>
      </c>
    </row>
    <row r="13" spans="3:17">
      <c r="C13" t="s">
        <v>42</v>
      </c>
      <c r="D13">
        <v>75</v>
      </c>
      <c r="F13" t="s">
        <v>3</v>
      </c>
      <c r="G13" t="s">
        <v>841</v>
      </c>
      <c r="I13">
        <v>8.4</v>
      </c>
      <c r="J13">
        <v>2</v>
      </c>
      <c r="O13" s="32"/>
      <c r="P13" s="32" t="s">
        <v>42</v>
      </c>
      <c r="Q13" s="32">
        <v>9.5</v>
      </c>
    </row>
    <row r="14" spans="3:17">
      <c r="C14" t="s">
        <v>68</v>
      </c>
      <c r="D14">
        <v>77</v>
      </c>
      <c r="F14" t="s">
        <v>14</v>
      </c>
      <c r="G14" s="12">
        <v>150000</v>
      </c>
      <c r="I14">
        <v>9.8</v>
      </c>
      <c r="J14">
        <v>7</v>
      </c>
      <c r="O14" s="32" t="s">
        <v>840</v>
      </c>
      <c r="P14" s="32"/>
      <c r="Q14" s="32">
        <v>10.14</v>
      </c>
    </row>
    <row r="15" spans="3:17">
      <c r="C15" t="s">
        <v>20</v>
      </c>
      <c r="D15">
        <v>106</v>
      </c>
      <c r="F15" t="s">
        <v>20</v>
      </c>
      <c r="G15" s="12">
        <v>94660.3773584906</v>
      </c>
      <c r="I15">
        <v>9.1</v>
      </c>
      <c r="J15">
        <v>5</v>
      </c>
    </row>
    <row r="16" spans="3:17">
      <c r="C16" t="s">
        <v>840</v>
      </c>
      <c r="D16">
        <v>500</v>
      </c>
      <c r="F16" t="s">
        <v>24</v>
      </c>
      <c r="G16" s="12">
        <v>78970.1492537314</v>
      </c>
      <c r="I16">
        <v>4.3</v>
      </c>
      <c r="J16">
        <v>8</v>
      </c>
    </row>
    <row r="17" spans="3:10">
      <c r="F17" t="s">
        <v>28</v>
      </c>
      <c r="G17" s="12">
        <v>78953.125</v>
      </c>
      <c r="I17">
        <v>5.6</v>
      </c>
      <c r="J17">
        <v>8</v>
      </c>
    </row>
    <row r="18" spans="3:10">
      <c r="C18" t="s">
        <v>4</v>
      </c>
      <c r="D18" t="s">
        <v>838</v>
      </c>
      <c r="F18" t="s">
        <v>68</v>
      </c>
      <c r="G18" s="12">
        <v>73701.2987012987</v>
      </c>
      <c r="I18">
        <v>11.1</v>
      </c>
      <c r="J18">
        <v>4</v>
      </c>
    </row>
    <row r="19" spans="3:10">
      <c r="C19" t="s">
        <v>21</v>
      </c>
      <c r="D19">
        <v>110</v>
      </c>
      <c r="F19" t="s">
        <v>59</v>
      </c>
      <c r="G19" s="12">
        <v>71327.868852459</v>
      </c>
      <c r="I19">
        <v>7.4</v>
      </c>
      <c r="J19">
        <v>5</v>
      </c>
    </row>
    <row r="20" spans="3:10">
      <c r="C20" t="s">
        <v>25</v>
      </c>
      <c r="D20">
        <v>82</v>
      </c>
      <c r="F20" t="s">
        <v>42</v>
      </c>
      <c r="G20" s="12">
        <v>68386.6666666667</v>
      </c>
      <c r="I20">
        <v>3.2</v>
      </c>
      <c r="J20">
        <v>2</v>
      </c>
    </row>
    <row r="21" spans="3:10">
      <c r="C21" t="s">
        <v>15</v>
      </c>
      <c r="D21">
        <v>103</v>
      </c>
      <c r="F21" t="s">
        <v>31</v>
      </c>
      <c r="G21" s="12">
        <v>58775.5102040816</v>
      </c>
      <c r="I21">
        <v>1</v>
      </c>
      <c r="J21">
        <v>7</v>
      </c>
    </row>
    <row r="22" spans="3:10">
      <c r="C22" t="s">
        <v>53</v>
      </c>
      <c r="D22">
        <v>70</v>
      </c>
      <c r="F22" t="s">
        <v>840</v>
      </c>
      <c r="G22" s="12">
        <v>77126</v>
      </c>
      <c r="I22">
        <v>4.8</v>
      </c>
      <c r="J22">
        <v>5</v>
      </c>
    </row>
    <row r="23" spans="3:10">
      <c r="C23" t="s">
        <v>56</v>
      </c>
      <c r="D23">
        <v>135</v>
      </c>
      <c r="I23">
        <v>10.8</v>
      </c>
      <c r="J23">
        <v>2</v>
      </c>
    </row>
    <row r="24" spans="3:10">
      <c r="C24" t="s">
        <v>840</v>
      </c>
      <c r="D24">
        <v>500</v>
      </c>
      <c r="F24" t="s">
        <v>6</v>
      </c>
      <c r="G24" t="s">
        <v>839</v>
      </c>
      <c r="I24">
        <v>6.3</v>
      </c>
      <c r="J24">
        <v>7</v>
      </c>
    </row>
    <row r="25" spans="3:10">
      <c r="F25">
        <v>2015</v>
      </c>
      <c r="G25">
        <v>41</v>
      </c>
      <c r="I25">
        <v>3.7</v>
      </c>
      <c r="J25">
        <v>4</v>
      </c>
    </row>
    <row r="26" spans="3:10">
      <c r="F26">
        <v>2016</v>
      </c>
      <c r="G26">
        <v>52</v>
      </c>
      <c r="I26">
        <v>10.9</v>
      </c>
      <c r="J26">
        <v>1</v>
      </c>
    </row>
    <row r="27" spans="3:10">
      <c r="C27" t="s">
        <v>3</v>
      </c>
      <c r="D27" t="s">
        <v>842</v>
      </c>
      <c r="F27">
        <v>2017</v>
      </c>
      <c r="G27">
        <v>47</v>
      </c>
      <c r="I27">
        <v>1.5</v>
      </c>
      <c r="J27">
        <v>6</v>
      </c>
    </row>
    <row r="28" spans="3:10">
      <c r="C28" t="s">
        <v>14</v>
      </c>
      <c r="D28" s="13">
        <v>12</v>
      </c>
      <c r="F28">
        <v>2018</v>
      </c>
      <c r="G28">
        <v>49</v>
      </c>
      <c r="I28">
        <v>10.6</v>
      </c>
      <c r="J28">
        <v>4</v>
      </c>
    </row>
    <row r="29" spans="3:10">
      <c r="C29" t="s">
        <v>42</v>
      </c>
      <c r="D29" s="13">
        <v>7.688</v>
      </c>
      <c r="F29">
        <v>2019</v>
      </c>
      <c r="G29">
        <v>45</v>
      </c>
      <c r="I29">
        <v>6.9</v>
      </c>
      <c r="J29">
        <v>3</v>
      </c>
    </row>
    <row r="30" spans="3:10">
      <c r="C30" t="s">
        <v>68</v>
      </c>
      <c r="D30" s="13">
        <v>7.58051948051948</v>
      </c>
      <c r="F30">
        <v>2020</v>
      </c>
      <c r="G30">
        <v>37</v>
      </c>
      <c r="I30">
        <v>6.2</v>
      </c>
      <c r="J30">
        <v>6</v>
      </c>
    </row>
    <row r="31" spans="3:10">
      <c r="C31" t="s">
        <v>20</v>
      </c>
      <c r="D31" s="13">
        <v>7.53773584905661</v>
      </c>
      <c r="F31">
        <v>2021</v>
      </c>
      <c r="G31">
        <v>53</v>
      </c>
      <c r="I31">
        <v>7.3</v>
      </c>
      <c r="J31">
        <v>4</v>
      </c>
    </row>
    <row r="32" spans="3:10">
      <c r="C32" t="s">
        <v>28</v>
      </c>
      <c r="D32" s="13">
        <v>7.521875</v>
      </c>
      <c r="F32">
        <v>2022</v>
      </c>
      <c r="G32">
        <v>45</v>
      </c>
      <c r="I32">
        <v>5.2</v>
      </c>
      <c r="J32">
        <v>2</v>
      </c>
    </row>
    <row r="33" spans="3:10">
      <c r="C33" t="s">
        <v>31</v>
      </c>
      <c r="D33" s="13">
        <v>7.36938775510204</v>
      </c>
      <c r="F33">
        <v>2023</v>
      </c>
      <c r="G33">
        <v>33</v>
      </c>
      <c r="I33">
        <v>2.1</v>
      </c>
      <c r="J33">
        <v>7</v>
      </c>
    </row>
    <row r="34" spans="3:10">
      <c r="C34" t="s">
        <v>59</v>
      </c>
      <c r="D34" s="13">
        <v>7.34262295081967</v>
      </c>
      <c r="F34">
        <v>2024</v>
      </c>
      <c r="G34">
        <v>49</v>
      </c>
      <c r="I34">
        <v>7.1</v>
      </c>
      <c r="J34">
        <v>2</v>
      </c>
    </row>
    <row r="35" spans="3:10">
      <c r="C35" t="s">
        <v>24</v>
      </c>
      <c r="D35" s="13">
        <v>7.29402985074627</v>
      </c>
      <c r="F35">
        <v>2025</v>
      </c>
      <c r="G35">
        <v>49</v>
      </c>
      <c r="I35">
        <v>8.3</v>
      </c>
      <c r="J35">
        <v>8</v>
      </c>
    </row>
    <row r="36" spans="3:10">
      <c r="C36" t="s">
        <v>840</v>
      </c>
      <c r="D36" s="13">
        <v>7.5008</v>
      </c>
      <c r="F36" t="s">
        <v>840</v>
      </c>
      <c r="G36">
        <v>500</v>
      </c>
      <c r="I36">
        <v>10.5</v>
      </c>
      <c r="J36">
        <v>5</v>
      </c>
    </row>
    <row r="37" spans="3:10">
      <c r="I37">
        <v>9.9</v>
      </c>
      <c r="J37">
        <v>6</v>
      </c>
    </row>
    <row r="38" spans="3:10">
      <c r="C38" t="s">
        <v>2</v>
      </c>
      <c r="D38" t="s">
        <v>838</v>
      </c>
      <c r="I38">
        <v>2.5</v>
      </c>
      <c r="J38">
        <v>5</v>
      </c>
    </row>
    <row r="39" spans="3:10">
      <c r="C39" t="s">
        <v>13</v>
      </c>
      <c r="D39">
        <v>235</v>
      </c>
      <c r="I39">
        <v>8.7</v>
      </c>
      <c r="J39">
        <v>6</v>
      </c>
    </row>
    <row r="40" spans="3:10">
      <c r="C40" t="s">
        <v>19</v>
      </c>
      <c r="D40">
        <v>265</v>
      </c>
      <c r="I40">
        <v>7.9</v>
      </c>
      <c r="J40">
        <v>6</v>
      </c>
    </row>
    <row r="41" spans="3:10">
      <c r="C41" t="s">
        <v>840</v>
      </c>
      <c r="D41">
        <v>500</v>
      </c>
      <c r="I41">
        <v>5.4</v>
      </c>
      <c r="J41">
        <v>5</v>
      </c>
    </row>
    <row r="42" spans="3:10">
      <c r="I42">
        <v>10</v>
      </c>
      <c r="J42">
        <v>7</v>
      </c>
    </row>
    <row r="43" spans="3:10">
      <c r="I43">
        <v>7.6</v>
      </c>
      <c r="J43">
        <v>4</v>
      </c>
    </row>
    <row r="44" spans="3:10">
      <c r="C44" t="s">
        <v>1</v>
      </c>
      <c r="D44" t="s">
        <v>3</v>
      </c>
      <c r="E44" t="s">
        <v>842</v>
      </c>
      <c r="I44">
        <v>2</v>
      </c>
      <c r="J44">
        <v>6</v>
      </c>
    </row>
    <row r="45" spans="3:10">
      <c r="C45" t="s">
        <v>271</v>
      </c>
      <c r="E45">
        <v>9.6</v>
      </c>
      <c r="I45">
        <v>11.2</v>
      </c>
      <c r="J45">
        <v>4</v>
      </c>
    </row>
    <row r="46" spans="3:10">
      <c r="D46" t="s">
        <v>68</v>
      </c>
      <c r="E46">
        <v>9.6</v>
      </c>
      <c r="I46">
        <v>4</v>
      </c>
      <c r="J46">
        <v>7</v>
      </c>
    </row>
    <row r="47" spans="3:10">
      <c r="C47" t="s">
        <v>789</v>
      </c>
      <c r="E47">
        <v>9.6</v>
      </c>
      <c r="I47">
        <v>1.6</v>
      </c>
      <c r="J47">
        <v>5</v>
      </c>
    </row>
    <row r="48" spans="3:10">
      <c r="D48" t="s">
        <v>20</v>
      </c>
      <c r="E48">
        <v>9.6</v>
      </c>
      <c r="I48">
        <v>4.7</v>
      </c>
      <c r="J48">
        <v>4</v>
      </c>
    </row>
    <row r="49" spans="3:10">
      <c r="C49" t="s">
        <v>746</v>
      </c>
      <c r="E49">
        <v>9.5</v>
      </c>
      <c r="I49">
        <v>8</v>
      </c>
      <c r="J49">
        <v>3</v>
      </c>
    </row>
    <row r="50" spans="3:10">
      <c r="D50" t="s">
        <v>42</v>
      </c>
      <c r="E50">
        <v>9.5</v>
      </c>
      <c r="I50">
        <v>8.5</v>
      </c>
      <c r="J50">
        <v>8</v>
      </c>
    </row>
    <row r="51" spans="3:10">
      <c r="C51" t="s">
        <v>248</v>
      </c>
      <c r="E51">
        <v>10</v>
      </c>
      <c r="I51">
        <v>8.2</v>
      </c>
      <c r="J51">
        <v>4</v>
      </c>
    </row>
    <row r="52" spans="3:10">
      <c r="D52" t="s">
        <v>20</v>
      </c>
      <c r="E52">
        <v>10</v>
      </c>
      <c r="I52">
        <v>1.7</v>
      </c>
      <c r="J52">
        <v>4</v>
      </c>
    </row>
    <row r="53" spans="3:10">
      <c r="C53" t="s">
        <v>12</v>
      </c>
      <c r="E53">
        <v>12</v>
      </c>
      <c r="I53">
        <v>6.4</v>
      </c>
      <c r="J53">
        <v>4</v>
      </c>
    </row>
    <row r="54" spans="3:10">
      <c r="D54" t="s">
        <v>14</v>
      </c>
      <c r="E54">
        <v>12</v>
      </c>
      <c r="I54">
        <v>10.1</v>
      </c>
      <c r="J54">
        <v>7</v>
      </c>
    </row>
    <row r="55" spans="3:10">
      <c r="C55" t="s">
        <v>840</v>
      </c>
      <c r="E55">
        <v>10.14</v>
      </c>
      <c r="I55">
        <v>1.1</v>
      </c>
      <c r="J55">
        <v>6</v>
      </c>
    </row>
    <row r="56" spans="3:10">
      <c r="I56">
        <v>10.7</v>
      </c>
      <c r="J56">
        <v>6</v>
      </c>
    </row>
    <row r="57" spans="3:10">
      <c r="I57">
        <v>1.8</v>
      </c>
      <c r="J57">
        <v>4</v>
      </c>
    </row>
    <row r="58" spans="3:10">
      <c r="I58">
        <v>11.4</v>
      </c>
      <c r="J58">
        <v>7</v>
      </c>
    </row>
    <row r="59" spans="3:10">
      <c r="I59">
        <v>2.3</v>
      </c>
      <c r="J59">
        <v>4</v>
      </c>
    </row>
    <row r="60" spans="3:10">
      <c r="C60" s="33"/>
      <c r="D60" s="34"/>
      <c r="E60" s="35"/>
      <c r="I60">
        <v>6.8</v>
      </c>
      <c r="J60">
        <v>5</v>
      </c>
    </row>
    <row r="61" spans="3:10">
      <c r="C61" s="36"/>
      <c r="D61" s="37"/>
      <c r="E61" s="38"/>
      <c r="I61">
        <v>3.3</v>
      </c>
      <c r="J61">
        <v>4</v>
      </c>
    </row>
    <row r="62" spans="3:10">
      <c r="C62" s="36"/>
      <c r="D62" s="37"/>
      <c r="E62" s="38"/>
      <c r="I62">
        <v>9.5</v>
      </c>
      <c r="J62">
        <v>7</v>
      </c>
    </row>
    <row r="63" spans="3:10">
      <c r="C63" s="36"/>
      <c r="D63" s="37"/>
      <c r="E63" s="38"/>
      <c r="I63">
        <v>5</v>
      </c>
      <c r="J63">
        <v>6</v>
      </c>
    </row>
    <row r="64" spans="3:10">
      <c r="C64" s="36"/>
      <c r="D64" s="37"/>
      <c r="E64" s="38"/>
      <c r="I64">
        <v>1.9</v>
      </c>
      <c r="J64">
        <v>2</v>
      </c>
    </row>
    <row r="65" spans="3:10">
      <c r="C65" s="36"/>
      <c r="D65" s="37"/>
      <c r="E65" s="38"/>
      <c r="I65">
        <v>9.6</v>
      </c>
      <c r="J65">
        <v>4</v>
      </c>
    </row>
    <row r="66" spans="3:10">
      <c r="C66" s="36"/>
      <c r="D66" s="37"/>
      <c r="E66" s="38"/>
      <c r="I66">
        <v>11</v>
      </c>
      <c r="J66">
        <v>8</v>
      </c>
    </row>
    <row r="67" spans="3:10">
      <c r="C67" s="36"/>
      <c r="D67" s="37"/>
      <c r="E67" s="38"/>
      <c r="I67">
        <v>4.6</v>
      </c>
      <c r="J67">
        <v>5</v>
      </c>
    </row>
    <row r="68" spans="3:10">
      <c r="C68" s="36"/>
      <c r="D68" s="37"/>
      <c r="E68" s="38"/>
      <c r="I68">
        <v>3.9</v>
      </c>
      <c r="J68">
        <v>5</v>
      </c>
    </row>
    <row r="69" spans="3:10">
      <c r="C69" s="36"/>
      <c r="D69" s="37"/>
      <c r="E69" s="38"/>
      <c r="I69">
        <v>2.4</v>
      </c>
      <c r="J69">
        <v>9</v>
      </c>
    </row>
    <row r="70" spans="3:10">
      <c r="C70" s="36"/>
      <c r="D70" s="37"/>
      <c r="E70" s="38"/>
      <c r="I70">
        <v>6.1</v>
      </c>
      <c r="J70">
        <v>5</v>
      </c>
    </row>
    <row r="71" spans="3:10">
      <c r="C71" s="36"/>
      <c r="D71" s="37"/>
      <c r="E71" s="38"/>
      <c r="I71">
        <v>3.1</v>
      </c>
      <c r="J71">
        <v>2</v>
      </c>
    </row>
    <row r="72" spans="3:10">
      <c r="C72" s="36"/>
      <c r="D72" s="37"/>
      <c r="E72" s="38"/>
      <c r="I72">
        <v>4.5</v>
      </c>
      <c r="J72">
        <v>4</v>
      </c>
    </row>
    <row r="73" spans="3:10">
      <c r="C73" s="36"/>
      <c r="D73" s="37"/>
      <c r="E73" s="38"/>
      <c r="I73">
        <v>8.1</v>
      </c>
      <c r="J73">
        <v>4</v>
      </c>
    </row>
    <row r="74" spans="3:10">
      <c r="C74" s="36"/>
      <c r="D74" s="37"/>
      <c r="E74" s="38"/>
      <c r="I74">
        <v>6.5</v>
      </c>
      <c r="J74">
        <v>2</v>
      </c>
    </row>
    <row r="75" spans="3:10">
      <c r="C75" s="36"/>
      <c r="D75" s="37"/>
      <c r="E75" s="38"/>
      <c r="I75">
        <v>0.7</v>
      </c>
      <c r="J75">
        <v>5</v>
      </c>
    </row>
    <row r="76" spans="3:10">
      <c r="C76" s="36"/>
      <c r="D76" s="37"/>
      <c r="E76" s="38"/>
      <c r="I76">
        <v>3</v>
      </c>
      <c r="J76">
        <v>4</v>
      </c>
    </row>
    <row r="77" spans="3:10">
      <c r="C77" s="39"/>
      <c r="D77" s="40"/>
      <c r="E77" s="41"/>
      <c r="I77">
        <v>2.8</v>
      </c>
      <c r="J77">
        <v>2</v>
      </c>
    </row>
    <row r="78" spans="3:10">
      <c r="I78">
        <v>5.7</v>
      </c>
      <c r="J78">
        <v>1</v>
      </c>
    </row>
    <row r="79" spans="3:10">
      <c r="I79">
        <v>6.7</v>
      </c>
      <c r="J79">
        <v>5</v>
      </c>
    </row>
    <row r="80" spans="3:10">
      <c r="C80" s="42" t="s">
        <v>1</v>
      </c>
      <c r="D80" s="42" t="s">
        <v>3</v>
      </c>
      <c r="E80" s="42" t="s">
        <v>9</v>
      </c>
      <c r="F80" s="43"/>
      <c r="G80" s="43"/>
      <c r="I80">
        <v>4.2</v>
      </c>
      <c r="J80">
        <v>1</v>
      </c>
    </row>
    <row r="81" spans="3:10">
      <c r="C81" s="43" t="s">
        <v>82</v>
      </c>
      <c r="D81" s="43" t="s">
        <v>28</v>
      </c>
      <c r="E81" s="44">
        <v>10</v>
      </c>
      <c r="F81" s="43"/>
      <c r="G81" s="43"/>
      <c r="I81">
        <v>7.2</v>
      </c>
      <c r="J81">
        <v>5</v>
      </c>
    </row>
    <row r="82" spans="3:10">
      <c r="C82" s="43" t="s">
        <v>227</v>
      </c>
      <c r="D82" s="43" t="s">
        <v>24</v>
      </c>
      <c r="E82" s="44">
        <v>10</v>
      </c>
      <c r="F82" s="43"/>
      <c r="G82" s="43"/>
      <c r="I82">
        <v>3.6</v>
      </c>
      <c r="J82">
        <v>4</v>
      </c>
    </row>
    <row r="83" spans="3:10">
      <c r="C83" s="43" t="s">
        <v>248</v>
      </c>
      <c r="D83" s="43" t="s">
        <v>20</v>
      </c>
      <c r="E83" s="44">
        <v>10</v>
      </c>
      <c r="F83" s="43"/>
      <c r="G83" s="43"/>
      <c r="I83">
        <v>7.5</v>
      </c>
      <c r="J83">
        <v>8</v>
      </c>
    </row>
    <row r="84" spans="3:10">
      <c r="C84" s="43" t="s">
        <v>288</v>
      </c>
      <c r="D84" s="43" t="s">
        <v>42</v>
      </c>
      <c r="E84" s="44">
        <v>10</v>
      </c>
      <c r="F84" s="43"/>
      <c r="G84" s="43"/>
      <c r="I84">
        <v>4.1</v>
      </c>
      <c r="J84">
        <v>2</v>
      </c>
    </row>
    <row r="85" spans="3:10">
      <c r="C85" s="43" t="s">
        <v>420</v>
      </c>
      <c r="D85" s="43" t="s">
        <v>20</v>
      </c>
      <c r="E85" s="44">
        <v>10</v>
      </c>
      <c r="F85" s="43"/>
      <c r="G85" s="43"/>
      <c r="I85">
        <v>10.3</v>
      </c>
      <c r="J85">
        <v>1</v>
      </c>
    </row>
    <row r="86" spans="3:10">
      <c r="C86" s="43" t="s">
        <v>329</v>
      </c>
      <c r="D86" s="43" t="s">
        <v>68</v>
      </c>
      <c r="E86" s="44">
        <v>10</v>
      </c>
      <c r="F86" s="43"/>
      <c r="G86" s="43"/>
      <c r="I86">
        <v>9</v>
      </c>
      <c r="J86">
        <v>3</v>
      </c>
    </row>
    <row r="87" spans="3:10">
      <c r="I87">
        <v>3.8</v>
      </c>
      <c r="J87">
        <v>6</v>
      </c>
    </row>
    <row r="88" spans="3:10">
      <c r="I88">
        <v>9.2</v>
      </c>
      <c r="J88">
        <v>5</v>
      </c>
    </row>
    <row r="89" spans="3:10">
      <c r="I89">
        <v>10.2</v>
      </c>
      <c r="J89">
        <v>6</v>
      </c>
    </row>
    <row r="90" spans="3:10">
      <c r="I90">
        <v>6.6</v>
      </c>
      <c r="J90">
        <v>7</v>
      </c>
    </row>
    <row r="91" spans="3:10">
      <c r="I91">
        <v>7</v>
      </c>
      <c r="J91">
        <v>5</v>
      </c>
    </row>
    <row r="92" spans="3:10">
      <c r="I92">
        <v>2.2</v>
      </c>
      <c r="J92">
        <v>5</v>
      </c>
    </row>
    <row r="93" spans="3:10">
      <c r="I93">
        <v>7.7</v>
      </c>
      <c r="J93">
        <v>3</v>
      </c>
    </row>
    <row r="94" spans="3:10">
      <c r="I94">
        <v>8.9</v>
      </c>
      <c r="J94">
        <v>4</v>
      </c>
    </row>
    <row r="95" spans="3:10">
      <c r="I95">
        <v>9.4</v>
      </c>
      <c r="J95">
        <v>7</v>
      </c>
    </row>
    <row r="96" spans="3:10">
      <c r="I96">
        <v>5.9</v>
      </c>
      <c r="J96">
        <v>3</v>
      </c>
    </row>
    <row r="97" spans="9:10">
      <c r="I97">
        <v>8.8</v>
      </c>
      <c r="J97">
        <v>5</v>
      </c>
    </row>
    <row r="98" spans="9:10">
      <c r="I98">
        <v>2.7</v>
      </c>
      <c r="J98">
        <v>3</v>
      </c>
    </row>
    <row r="99" spans="9:10">
      <c r="I99">
        <v>9.7</v>
      </c>
      <c r="J99">
        <v>5</v>
      </c>
    </row>
    <row r="100" spans="9:10">
      <c r="I100">
        <v>2.6</v>
      </c>
      <c r="J100">
        <v>3</v>
      </c>
    </row>
    <row r="101" spans="9:10">
      <c r="I101">
        <v>5.1</v>
      </c>
      <c r="J101">
        <v>8</v>
      </c>
    </row>
    <row r="102" spans="9:10">
      <c r="I102">
        <v>10.4</v>
      </c>
      <c r="J102">
        <v>4</v>
      </c>
    </row>
    <row r="103" spans="9:10">
      <c r="I103">
        <v>1.2</v>
      </c>
      <c r="J103">
        <v>2</v>
      </c>
    </row>
    <row r="104" spans="9:10">
      <c r="I104">
        <v>1.4</v>
      </c>
      <c r="J104">
        <v>3</v>
      </c>
    </row>
    <row r="105" spans="9:10">
      <c r="I105">
        <v>4.4</v>
      </c>
      <c r="J105">
        <v>3</v>
      </c>
    </row>
    <row r="106" spans="9:10">
      <c r="I106">
        <v>3.5</v>
      </c>
      <c r="J106">
        <v>4</v>
      </c>
    </row>
    <row r="107" spans="9:10">
      <c r="I107">
        <v>5.8</v>
      </c>
      <c r="J107">
        <v>1</v>
      </c>
    </row>
    <row r="108" spans="9:10">
      <c r="I108">
        <v>0.9</v>
      </c>
      <c r="J108">
        <v>3</v>
      </c>
    </row>
    <row r="109" spans="9:10">
      <c r="I109">
        <v>5.3</v>
      </c>
      <c r="J109">
        <v>3</v>
      </c>
    </row>
    <row r="110" spans="9:10">
      <c r="I110">
        <v>8.6</v>
      </c>
      <c r="J110">
        <v>5</v>
      </c>
    </row>
    <row r="111" spans="9:10">
      <c r="I111">
        <v>0.8</v>
      </c>
      <c r="J111">
        <v>9</v>
      </c>
    </row>
    <row r="112" spans="9:10">
      <c r="I112">
        <v>1.3</v>
      </c>
      <c r="J112">
        <v>3</v>
      </c>
    </row>
    <row r="113" spans="9:10">
      <c r="I113">
        <v>6</v>
      </c>
      <c r="J113">
        <v>1</v>
      </c>
    </row>
    <row r="114" spans="9:10">
      <c r="I114">
        <v>9.3</v>
      </c>
      <c r="J114">
        <v>1</v>
      </c>
    </row>
    <row r="115" spans="9:10">
      <c r="I115">
        <v>11.5</v>
      </c>
      <c r="J115">
        <v>2</v>
      </c>
    </row>
    <row r="116" spans="9:10">
      <c r="I116">
        <v>2.9</v>
      </c>
      <c r="J116">
        <v>3</v>
      </c>
    </row>
    <row r="117" spans="9:10">
      <c r="I117">
        <v>11.3</v>
      </c>
      <c r="J117">
        <v>1</v>
      </c>
    </row>
    <row r="118" spans="9:10">
      <c r="I118" t="s">
        <v>840</v>
      </c>
      <c r="J118">
        <v>500</v>
      </c>
    </row>
  </sheetData>
  <mergeCells count="1">
    <mergeCell ref="O2:Q2"/>
  </mergeCells>
  <pageMargins left="0.75" right="0.75" top="1" bottom="1" header="0.5" footer="0.5"/>
  <pageSetup paperSize="1" orientation="portrait"/>
  <headerFooter/>
  <drawing r:id="rId16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N154"/>
  <sheetViews>
    <sheetView tabSelected="1" topLeftCell="A35" workbookViewId="0">
      <selection activeCell="G54" sqref="G54"/>
    </sheetView>
  </sheetViews>
  <sheetFormatPr defaultColWidth="9.14285714285714" defaultRowHeight="15"/>
  <cols>
    <col min="3" max="3" width="20.1428571428571"/>
    <col min="4" max="4" width="15.5714285714286" style="10"/>
    <col min="5" max="5" width="10.5714285714286" customWidth="1"/>
    <col min="6" max="6" width="14.5714285714286"/>
    <col min="7" max="7" width="22" customWidth="1"/>
    <col min="9" max="9" width="15"/>
    <col min="10" max="10" width="18.8571428571429"/>
    <col min="11" max="11" width="12.8571428571429" customWidth="1"/>
    <col min="12" max="12" width="12.1428571428571"/>
    <col min="13" max="13" width="15.5714285714286"/>
    <col min="14" max="14" width="15.4285714285714" customWidth="1"/>
  </cols>
  <sheetData>
    <row r="3" spans="3:14">
      <c r="C3" t="s">
        <v>831</v>
      </c>
      <c r="E3" s="11" t="s">
        <v>843</v>
      </c>
      <c r="G3" s="11" t="s">
        <v>844</v>
      </c>
      <c r="I3" t="s">
        <v>834</v>
      </c>
      <c r="K3" t="s">
        <v>835</v>
      </c>
      <c r="M3" t="s">
        <v>845</v>
      </c>
    </row>
    <row r="4" spans="3:14">
      <c r="C4">
        <v>500</v>
      </c>
      <c r="E4">
        <f>HR_Data!M6</f>
        <v>448</v>
      </c>
      <c r="G4">
        <f>HR_Data!M7</f>
        <v>52</v>
      </c>
      <c r="I4" s="12">
        <v>77126</v>
      </c>
      <c r="K4" s="13">
        <v>6.1982</v>
      </c>
      <c r="M4" s="13">
        <v>7.5008</v>
      </c>
    </row>
    <row r="7" ht="15.75" spans="3:14">
      <c r="C7" s="14" t="s">
        <v>846</v>
      </c>
      <c r="F7" s="14" t="s">
        <v>847</v>
      </c>
      <c r="I7" s="14" t="s">
        <v>848</v>
      </c>
      <c r="L7" s="14" t="s">
        <v>849</v>
      </c>
    </row>
    <row r="8" spans="3:14">
      <c r="E8" s="15"/>
    </row>
    <row r="9" ht="27" customHeight="1" spans="3:14">
      <c r="C9" s="16" t="s">
        <v>850</v>
      </c>
      <c r="D9" s="17"/>
      <c r="F9" s="16" t="s">
        <v>851</v>
      </c>
      <c r="G9" s="18"/>
      <c r="I9" s="16" t="s">
        <v>10</v>
      </c>
      <c r="J9" s="17"/>
      <c r="L9" s="19" t="s">
        <v>830</v>
      </c>
      <c r="M9" s="20"/>
      <c r="N9" s="20"/>
    </row>
    <row r="10" ht="15.75" spans="3:14">
      <c r="C10" t="s">
        <v>3</v>
      </c>
      <c r="D10" s="10" t="s">
        <v>852</v>
      </c>
      <c r="F10" t="s">
        <v>4</v>
      </c>
      <c r="G10" t="s">
        <v>852</v>
      </c>
      <c r="I10" t="s">
        <v>10</v>
      </c>
      <c r="J10" t="s">
        <v>852</v>
      </c>
      <c r="L10" s="8" t="s">
        <v>853</v>
      </c>
      <c r="M10" s="8" t="s">
        <v>3</v>
      </c>
      <c r="N10" s="9" t="s">
        <v>845</v>
      </c>
    </row>
    <row r="11" spans="3:14">
      <c r="C11" t="s">
        <v>14</v>
      </c>
      <c r="D11" s="10">
        <v>1</v>
      </c>
      <c r="F11" t="s">
        <v>21</v>
      </c>
      <c r="G11">
        <v>110</v>
      </c>
      <c r="I11" t="s">
        <v>16</v>
      </c>
      <c r="J11">
        <v>448</v>
      </c>
      <c r="L11" s="9" t="s">
        <v>12</v>
      </c>
      <c r="M11" s="9"/>
      <c r="N11" s="9">
        <v>12</v>
      </c>
    </row>
    <row r="12" spans="3:14">
      <c r="C12" t="s">
        <v>31</v>
      </c>
      <c r="D12" s="10">
        <v>49</v>
      </c>
      <c r="F12" t="s">
        <v>25</v>
      </c>
      <c r="G12">
        <v>82</v>
      </c>
      <c r="I12" t="s">
        <v>92</v>
      </c>
      <c r="J12">
        <v>52</v>
      </c>
      <c r="L12" s="9"/>
      <c r="M12" s="9" t="s">
        <v>14</v>
      </c>
      <c r="N12" s="9">
        <v>12</v>
      </c>
    </row>
    <row r="13" spans="3:14">
      <c r="C13" t="s">
        <v>59</v>
      </c>
      <c r="D13" s="10">
        <v>61</v>
      </c>
      <c r="F13" t="s">
        <v>15</v>
      </c>
      <c r="G13">
        <v>103</v>
      </c>
      <c r="I13" t="s">
        <v>840</v>
      </c>
      <c r="J13">
        <v>500</v>
      </c>
      <c r="L13" s="9" t="s">
        <v>248</v>
      </c>
      <c r="M13" s="9"/>
      <c r="N13" s="9">
        <v>10</v>
      </c>
    </row>
    <row r="14" spans="3:14">
      <c r="C14" t="s">
        <v>28</v>
      </c>
      <c r="D14" s="10">
        <v>64</v>
      </c>
      <c r="F14" t="s">
        <v>53</v>
      </c>
      <c r="G14">
        <v>70</v>
      </c>
      <c r="L14" s="9"/>
      <c r="M14" s="9" t="s">
        <v>20</v>
      </c>
      <c r="N14" s="9">
        <v>10</v>
      </c>
    </row>
    <row r="15" spans="3:14">
      <c r="C15" t="s">
        <v>24</v>
      </c>
      <c r="D15" s="10">
        <v>67</v>
      </c>
      <c r="F15" t="s">
        <v>56</v>
      </c>
      <c r="G15">
        <v>135</v>
      </c>
      <c r="L15" s="9" t="s">
        <v>271</v>
      </c>
      <c r="M15" s="9"/>
      <c r="N15" s="9">
        <v>9.6</v>
      </c>
    </row>
    <row r="16" spans="3:14">
      <c r="C16" t="s">
        <v>42</v>
      </c>
      <c r="D16" s="10">
        <v>75</v>
      </c>
      <c r="F16" t="s">
        <v>840</v>
      </c>
      <c r="G16">
        <v>500</v>
      </c>
      <c r="L16" s="9"/>
      <c r="M16" s="9" t="s">
        <v>68</v>
      </c>
      <c r="N16" s="9">
        <v>9.6</v>
      </c>
    </row>
    <row r="17" spans="3:14">
      <c r="C17" t="s">
        <v>68</v>
      </c>
      <c r="D17" s="10">
        <v>77</v>
      </c>
      <c r="L17" s="9" t="s">
        <v>789</v>
      </c>
      <c r="M17" s="9"/>
      <c r="N17" s="21">
        <v>9.6</v>
      </c>
    </row>
    <row r="18" spans="3:14">
      <c r="C18" t="s">
        <v>20</v>
      </c>
      <c r="D18" s="10">
        <v>106</v>
      </c>
      <c r="L18" s="9"/>
      <c r="M18" s="9" t="s">
        <v>20</v>
      </c>
      <c r="N18" s="9">
        <v>9.6</v>
      </c>
    </row>
    <row r="19" spans="3:14">
      <c r="C19" t="s">
        <v>840</v>
      </c>
      <c r="D19" s="10">
        <v>500</v>
      </c>
      <c r="L19" s="9" t="s">
        <v>746</v>
      </c>
      <c r="M19" s="9"/>
      <c r="N19" s="9">
        <v>9.5</v>
      </c>
    </row>
    <row r="20" spans="3:14">
      <c r="L20" s="9"/>
      <c r="M20" s="9" t="s">
        <v>42</v>
      </c>
      <c r="N20" s="9">
        <v>9.5</v>
      </c>
    </row>
    <row r="21" spans="3:14">
      <c r="L21" s="9" t="s">
        <v>840</v>
      </c>
      <c r="M21" s="9"/>
      <c r="N21" s="9">
        <v>10.14</v>
      </c>
    </row>
    <row r="22" spans="3:14">
      <c r="L22" s="22"/>
      <c r="M22" s="22"/>
      <c r="N22" s="22"/>
    </row>
    <row r="23" ht="15.75" spans="3:14">
      <c r="C23" s="14" t="s">
        <v>854</v>
      </c>
      <c r="F23" s="14" t="s">
        <v>855</v>
      </c>
      <c r="I23" s="14" t="s">
        <v>856</v>
      </c>
      <c r="L23" s="14" t="s">
        <v>857</v>
      </c>
      <c r="M23" s="22"/>
      <c r="N23" s="22"/>
    </row>
    <row r="25" ht="30" customHeight="1" spans="3:14">
      <c r="C25" s="23" t="s">
        <v>858</v>
      </c>
      <c r="D25" s="23"/>
      <c r="F25" s="23" t="s">
        <v>859</v>
      </c>
      <c r="G25" s="24"/>
      <c r="I25" s="23" t="s">
        <v>860</v>
      </c>
      <c r="J25" s="25"/>
      <c r="L25" s="24" t="s">
        <v>861</v>
      </c>
      <c r="M25" s="17"/>
    </row>
    <row r="26" spans="3:14">
      <c r="C26" t="s">
        <v>3</v>
      </c>
      <c r="D26" s="10" t="s">
        <v>862</v>
      </c>
      <c r="F26" t="s">
        <v>3</v>
      </c>
      <c r="G26" t="s">
        <v>863</v>
      </c>
      <c r="I26" t="s">
        <v>6</v>
      </c>
      <c r="J26" t="s">
        <v>864</v>
      </c>
      <c r="L26" t="s">
        <v>2</v>
      </c>
      <c r="M26" t="s">
        <v>852</v>
      </c>
    </row>
    <row r="27" spans="3:14">
      <c r="C27" t="s">
        <v>14</v>
      </c>
      <c r="D27" s="26">
        <v>150000</v>
      </c>
      <c r="F27" t="s">
        <v>14</v>
      </c>
      <c r="G27" s="13">
        <v>12</v>
      </c>
      <c r="I27">
        <v>2015</v>
      </c>
      <c r="J27">
        <v>41</v>
      </c>
      <c r="L27" t="s">
        <v>13</v>
      </c>
      <c r="M27">
        <v>235</v>
      </c>
    </row>
    <row r="28" spans="3:14">
      <c r="C28" t="s">
        <v>20</v>
      </c>
      <c r="D28" s="26">
        <v>94660.3773584906</v>
      </c>
      <c r="F28" t="s">
        <v>42</v>
      </c>
      <c r="G28" s="13">
        <v>7.688</v>
      </c>
      <c r="I28">
        <v>2016</v>
      </c>
      <c r="J28">
        <v>52</v>
      </c>
      <c r="L28" t="s">
        <v>19</v>
      </c>
      <c r="M28">
        <v>265</v>
      </c>
    </row>
    <row r="29" spans="3:14">
      <c r="C29" t="s">
        <v>24</v>
      </c>
      <c r="D29" s="26">
        <v>78970.1492537314</v>
      </c>
      <c r="F29" t="s">
        <v>68</v>
      </c>
      <c r="G29" s="13">
        <v>7.58051948051948</v>
      </c>
      <c r="I29">
        <v>2017</v>
      </c>
      <c r="J29">
        <v>47</v>
      </c>
      <c r="L29" t="s">
        <v>840</v>
      </c>
      <c r="M29">
        <v>500</v>
      </c>
    </row>
    <row r="30" spans="3:14">
      <c r="C30" t="s">
        <v>28</v>
      </c>
      <c r="D30" s="26">
        <v>78953.125</v>
      </c>
      <c r="F30" t="s">
        <v>20</v>
      </c>
      <c r="G30" s="13">
        <v>7.53773584905661</v>
      </c>
      <c r="I30">
        <v>2018</v>
      </c>
      <c r="J30">
        <v>49</v>
      </c>
    </row>
    <row r="31" spans="3:14">
      <c r="C31" t="s">
        <v>68</v>
      </c>
      <c r="D31" s="26">
        <v>73701.2987012987</v>
      </c>
      <c r="F31" t="s">
        <v>28</v>
      </c>
      <c r="G31" s="13">
        <v>7.521875</v>
      </c>
      <c r="I31">
        <v>2019</v>
      </c>
      <c r="J31">
        <v>45</v>
      </c>
    </row>
    <row r="32" spans="3:14">
      <c r="C32" t="s">
        <v>59</v>
      </c>
      <c r="D32" s="26">
        <v>71327.868852459</v>
      </c>
      <c r="F32" t="s">
        <v>31</v>
      </c>
      <c r="G32" s="13">
        <v>7.36938775510204</v>
      </c>
      <c r="I32">
        <v>2020</v>
      </c>
      <c r="J32">
        <v>37</v>
      </c>
    </row>
    <row r="33" spans="3:10">
      <c r="C33" t="s">
        <v>42</v>
      </c>
      <c r="D33" s="26">
        <v>68386.6666666667</v>
      </c>
      <c r="F33" t="s">
        <v>59</v>
      </c>
      <c r="G33" s="13">
        <v>7.34262295081967</v>
      </c>
      <c r="I33">
        <v>2021</v>
      </c>
      <c r="J33">
        <v>53</v>
      </c>
    </row>
    <row r="34" spans="3:10">
      <c r="C34" t="s">
        <v>31</v>
      </c>
      <c r="D34" s="26">
        <v>58775.5102040816</v>
      </c>
      <c r="F34" t="s">
        <v>24</v>
      </c>
      <c r="G34" s="13">
        <v>7.29402985074627</v>
      </c>
      <c r="I34">
        <v>2022</v>
      </c>
      <c r="J34">
        <v>45</v>
      </c>
    </row>
    <row r="35" spans="3:10">
      <c r="C35" t="s">
        <v>840</v>
      </c>
      <c r="D35" s="26">
        <v>77126</v>
      </c>
      <c r="F35" t="s">
        <v>840</v>
      </c>
      <c r="G35" s="13">
        <v>7.5008</v>
      </c>
      <c r="I35">
        <v>2023</v>
      </c>
      <c r="J35">
        <v>33</v>
      </c>
    </row>
    <row r="36" spans="3:10">
      <c r="I36">
        <v>2024</v>
      </c>
      <c r="J36">
        <v>49</v>
      </c>
    </row>
    <row r="37" spans="3:10">
      <c r="I37">
        <v>2025</v>
      </c>
      <c r="J37">
        <v>49</v>
      </c>
    </row>
    <row r="38" ht="17" customHeight="1" spans="3:10">
      <c r="C38" s="27"/>
      <c r="D38" s="28"/>
      <c r="I38" t="s">
        <v>840</v>
      </c>
      <c r="J38">
        <v>500</v>
      </c>
    </row>
    <row r="39" ht="17" customHeight="1" spans="3:10">
      <c r="C39" s="27"/>
      <c r="D39" s="28"/>
    </row>
    <row r="40" ht="17" customHeight="1" spans="3:10">
      <c r="C40" s="14" t="s">
        <v>865</v>
      </c>
      <c r="D40" s="28"/>
    </row>
    <row r="41" spans="3:10">
      <c r="D41"/>
    </row>
    <row r="42" ht="26" customHeight="1" spans="3:10">
      <c r="C42" s="23" t="s">
        <v>866</v>
      </c>
      <c r="D42" s="17"/>
    </row>
    <row r="43" spans="3:10">
      <c r="C43" t="s">
        <v>7</v>
      </c>
      <c r="D43" t="s">
        <v>852</v>
      </c>
    </row>
    <row r="44" spans="3:10">
      <c r="C44">
        <v>3.4</v>
      </c>
      <c r="D44">
        <v>4</v>
      </c>
    </row>
    <row r="45" spans="3:10">
      <c r="C45">
        <v>4.9</v>
      </c>
      <c r="D45">
        <v>6</v>
      </c>
    </row>
    <row r="46" spans="3:10">
      <c r="C46">
        <v>11.6</v>
      </c>
      <c r="D46">
        <v>6</v>
      </c>
    </row>
    <row r="47" spans="3:10">
      <c r="C47">
        <v>7.8</v>
      </c>
      <c r="D47">
        <v>6</v>
      </c>
    </row>
    <row r="48" spans="3:10">
      <c r="C48">
        <v>5.5</v>
      </c>
      <c r="D48">
        <v>6</v>
      </c>
    </row>
    <row r="49" spans="3:4">
      <c r="C49">
        <v>8.4</v>
      </c>
      <c r="D49">
        <v>2</v>
      </c>
    </row>
    <row r="50" spans="3:4">
      <c r="C50">
        <v>9.8</v>
      </c>
      <c r="D50">
        <v>7</v>
      </c>
    </row>
    <row r="51" spans="3:4">
      <c r="C51">
        <v>9.1</v>
      </c>
      <c r="D51">
        <v>5</v>
      </c>
    </row>
    <row r="52" spans="3:4">
      <c r="C52">
        <v>4.3</v>
      </c>
      <c r="D52">
        <v>8</v>
      </c>
    </row>
    <row r="53" spans="3:4">
      <c r="C53">
        <v>5.6</v>
      </c>
      <c r="D53">
        <v>8</v>
      </c>
    </row>
    <row r="54" spans="3:4">
      <c r="C54">
        <v>11.1</v>
      </c>
      <c r="D54">
        <v>4</v>
      </c>
    </row>
    <row r="55" spans="3:4">
      <c r="C55">
        <v>7.4</v>
      </c>
      <c r="D55">
        <v>5</v>
      </c>
    </row>
    <row r="56" spans="3:4">
      <c r="C56">
        <v>3.2</v>
      </c>
      <c r="D56">
        <v>2</v>
      </c>
    </row>
    <row r="57" spans="3:4">
      <c r="C57">
        <v>1</v>
      </c>
      <c r="D57">
        <v>7</v>
      </c>
    </row>
    <row r="58" spans="3:4">
      <c r="C58">
        <v>4.8</v>
      </c>
      <c r="D58">
        <v>5</v>
      </c>
    </row>
    <row r="59" spans="3:4">
      <c r="C59">
        <v>10.8</v>
      </c>
      <c r="D59">
        <v>2</v>
      </c>
    </row>
    <row r="60" spans="3:4">
      <c r="C60">
        <v>6.3</v>
      </c>
      <c r="D60">
        <v>7</v>
      </c>
    </row>
    <row r="61" spans="3:4">
      <c r="C61">
        <v>3.7</v>
      </c>
      <c r="D61">
        <v>4</v>
      </c>
    </row>
    <row r="62" spans="3:4">
      <c r="C62">
        <v>10.9</v>
      </c>
      <c r="D62">
        <v>1</v>
      </c>
    </row>
    <row r="63" spans="3:4">
      <c r="C63">
        <v>1.5</v>
      </c>
      <c r="D63">
        <v>6</v>
      </c>
    </row>
    <row r="64" spans="3:4">
      <c r="C64">
        <v>10.6</v>
      </c>
      <c r="D64">
        <v>4</v>
      </c>
    </row>
    <row r="65" spans="3:4">
      <c r="C65">
        <v>6.9</v>
      </c>
      <c r="D65">
        <v>3</v>
      </c>
    </row>
    <row r="66" spans="3:4">
      <c r="C66">
        <v>6.2</v>
      </c>
      <c r="D66">
        <v>6</v>
      </c>
    </row>
    <row r="67" spans="3:4">
      <c r="C67">
        <v>7.3</v>
      </c>
      <c r="D67">
        <v>4</v>
      </c>
    </row>
    <row r="68" spans="3:4">
      <c r="C68">
        <v>5.2</v>
      </c>
      <c r="D68">
        <v>2</v>
      </c>
    </row>
    <row r="69" spans="3:4">
      <c r="C69">
        <v>2.1</v>
      </c>
      <c r="D69">
        <v>7</v>
      </c>
    </row>
    <row r="70" spans="3:4">
      <c r="C70">
        <v>7.1</v>
      </c>
      <c r="D70">
        <v>2</v>
      </c>
    </row>
    <row r="71" spans="3:4">
      <c r="C71">
        <v>8.3</v>
      </c>
      <c r="D71">
        <v>8</v>
      </c>
    </row>
    <row r="72" spans="3:4">
      <c r="C72">
        <v>10.5</v>
      </c>
      <c r="D72">
        <v>5</v>
      </c>
    </row>
    <row r="73" spans="3:4">
      <c r="C73">
        <v>9.9</v>
      </c>
      <c r="D73">
        <v>6</v>
      </c>
    </row>
    <row r="74" spans="3:4">
      <c r="C74">
        <v>2.5</v>
      </c>
      <c r="D74">
        <v>5</v>
      </c>
    </row>
    <row r="75" spans="3:4">
      <c r="C75">
        <v>8.7</v>
      </c>
      <c r="D75">
        <v>6</v>
      </c>
    </row>
    <row r="76" spans="3:4">
      <c r="C76">
        <v>7.9</v>
      </c>
      <c r="D76">
        <v>6</v>
      </c>
    </row>
    <row r="77" spans="3:4">
      <c r="C77">
        <v>5.4</v>
      </c>
      <c r="D77">
        <v>5</v>
      </c>
    </row>
    <row r="78" spans="3:4">
      <c r="C78">
        <v>10</v>
      </c>
      <c r="D78">
        <v>7</v>
      </c>
    </row>
    <row r="79" spans="3:4">
      <c r="C79">
        <v>7.6</v>
      </c>
      <c r="D79">
        <v>4</v>
      </c>
    </row>
    <row r="80" spans="3:4">
      <c r="C80">
        <v>2</v>
      </c>
      <c r="D80">
        <v>6</v>
      </c>
    </row>
    <row r="81" spans="3:4">
      <c r="C81">
        <v>11.2</v>
      </c>
      <c r="D81">
        <v>4</v>
      </c>
    </row>
    <row r="82" spans="3:4">
      <c r="C82">
        <v>4</v>
      </c>
      <c r="D82">
        <v>7</v>
      </c>
    </row>
    <row r="83" spans="3:4">
      <c r="C83">
        <v>1.6</v>
      </c>
      <c r="D83">
        <v>5</v>
      </c>
    </row>
    <row r="84" spans="3:4">
      <c r="C84">
        <v>4.7</v>
      </c>
      <c r="D84">
        <v>4</v>
      </c>
    </row>
    <row r="85" spans="3:4">
      <c r="C85">
        <v>8</v>
      </c>
      <c r="D85">
        <v>3</v>
      </c>
    </row>
    <row r="86" spans="3:4">
      <c r="C86">
        <v>8.5</v>
      </c>
      <c r="D86">
        <v>8</v>
      </c>
    </row>
    <row r="87" spans="3:4">
      <c r="C87">
        <v>8.2</v>
      </c>
      <c r="D87">
        <v>4</v>
      </c>
    </row>
    <row r="88" spans="3:4">
      <c r="C88">
        <v>1.7</v>
      </c>
      <c r="D88">
        <v>4</v>
      </c>
    </row>
    <row r="89" spans="3:4">
      <c r="C89">
        <v>6.4</v>
      </c>
      <c r="D89">
        <v>4</v>
      </c>
    </row>
    <row r="90" spans="3:4">
      <c r="C90">
        <v>10.1</v>
      </c>
      <c r="D90">
        <v>7</v>
      </c>
    </row>
    <row r="91" spans="3:4">
      <c r="C91">
        <v>1.1</v>
      </c>
      <c r="D91">
        <v>6</v>
      </c>
    </row>
    <row r="92" spans="3:4">
      <c r="C92">
        <v>10.7</v>
      </c>
      <c r="D92">
        <v>6</v>
      </c>
    </row>
    <row r="93" spans="3:4">
      <c r="C93">
        <v>1.8</v>
      </c>
      <c r="D93">
        <v>4</v>
      </c>
    </row>
    <row r="94" spans="3:4">
      <c r="C94">
        <v>11.4</v>
      </c>
      <c r="D94">
        <v>7</v>
      </c>
    </row>
    <row r="95" spans="3:4">
      <c r="C95">
        <v>2.3</v>
      </c>
      <c r="D95">
        <v>4</v>
      </c>
    </row>
    <row r="96" spans="3:4">
      <c r="C96">
        <v>6.8</v>
      </c>
      <c r="D96">
        <v>5</v>
      </c>
    </row>
    <row r="97" spans="3:4">
      <c r="C97">
        <v>3.3</v>
      </c>
      <c r="D97">
        <v>4</v>
      </c>
    </row>
    <row r="98" spans="3:4">
      <c r="C98">
        <v>9.5</v>
      </c>
      <c r="D98">
        <v>7</v>
      </c>
    </row>
    <row r="99" spans="3:4">
      <c r="C99">
        <v>5</v>
      </c>
      <c r="D99">
        <v>6</v>
      </c>
    </row>
    <row r="100" spans="3:4">
      <c r="C100">
        <v>1.9</v>
      </c>
      <c r="D100">
        <v>2</v>
      </c>
    </row>
    <row r="101" spans="3:4">
      <c r="C101">
        <v>9.6</v>
      </c>
      <c r="D101">
        <v>4</v>
      </c>
    </row>
    <row r="102" spans="3:4">
      <c r="C102">
        <v>11</v>
      </c>
      <c r="D102">
        <v>8</v>
      </c>
    </row>
    <row r="103" spans="3:4">
      <c r="C103">
        <v>4.6</v>
      </c>
      <c r="D103">
        <v>5</v>
      </c>
    </row>
    <row r="104" spans="3:4">
      <c r="C104">
        <v>3.9</v>
      </c>
      <c r="D104">
        <v>5</v>
      </c>
    </row>
    <row r="105" spans="3:4">
      <c r="C105">
        <v>2.4</v>
      </c>
      <c r="D105">
        <v>9</v>
      </c>
    </row>
    <row r="106" spans="3:4">
      <c r="C106">
        <v>6.1</v>
      </c>
      <c r="D106">
        <v>5</v>
      </c>
    </row>
    <row r="107" spans="3:4">
      <c r="C107">
        <v>3.1</v>
      </c>
      <c r="D107">
        <v>2</v>
      </c>
    </row>
    <row r="108" spans="3:4">
      <c r="C108">
        <v>4.5</v>
      </c>
      <c r="D108">
        <v>4</v>
      </c>
    </row>
    <row r="109" spans="3:4">
      <c r="C109">
        <v>8.1</v>
      </c>
      <c r="D109">
        <v>4</v>
      </c>
    </row>
    <row r="110" spans="3:4">
      <c r="C110">
        <v>6.5</v>
      </c>
      <c r="D110">
        <v>2</v>
      </c>
    </row>
    <row r="111" spans="3:4">
      <c r="C111">
        <v>0.7</v>
      </c>
      <c r="D111">
        <v>5</v>
      </c>
    </row>
    <row r="112" spans="3:4">
      <c r="C112">
        <v>3</v>
      </c>
      <c r="D112">
        <v>4</v>
      </c>
    </row>
    <row r="113" spans="3:4">
      <c r="C113">
        <v>2.8</v>
      </c>
      <c r="D113">
        <v>2</v>
      </c>
    </row>
    <row r="114" spans="3:4">
      <c r="C114">
        <v>5.7</v>
      </c>
      <c r="D114">
        <v>1</v>
      </c>
    </row>
    <row r="115" spans="3:4">
      <c r="C115">
        <v>6.7</v>
      </c>
      <c r="D115">
        <v>5</v>
      </c>
    </row>
    <row r="116" spans="3:4">
      <c r="C116">
        <v>4.2</v>
      </c>
      <c r="D116">
        <v>1</v>
      </c>
    </row>
    <row r="117" spans="3:4">
      <c r="C117">
        <v>7.2</v>
      </c>
      <c r="D117">
        <v>5</v>
      </c>
    </row>
    <row r="118" spans="3:4">
      <c r="C118">
        <v>3.6</v>
      </c>
      <c r="D118">
        <v>4</v>
      </c>
    </row>
    <row r="119" spans="3:4">
      <c r="C119">
        <v>7.5</v>
      </c>
      <c r="D119">
        <v>8</v>
      </c>
    </row>
    <row r="120" spans="3:4">
      <c r="C120">
        <v>4.1</v>
      </c>
      <c r="D120">
        <v>2</v>
      </c>
    </row>
    <row r="121" spans="3:4">
      <c r="C121">
        <v>10.3</v>
      </c>
      <c r="D121">
        <v>1</v>
      </c>
    </row>
    <row r="122" spans="3:4">
      <c r="C122">
        <v>9</v>
      </c>
      <c r="D122">
        <v>3</v>
      </c>
    </row>
    <row r="123" spans="3:4">
      <c r="C123">
        <v>3.8</v>
      </c>
      <c r="D123">
        <v>6</v>
      </c>
    </row>
    <row r="124" spans="3:4">
      <c r="C124">
        <v>9.2</v>
      </c>
      <c r="D124">
        <v>5</v>
      </c>
    </row>
    <row r="125" spans="3:4">
      <c r="C125">
        <v>10.2</v>
      </c>
      <c r="D125">
        <v>6</v>
      </c>
    </row>
    <row r="126" spans="3:4">
      <c r="C126">
        <v>6.6</v>
      </c>
      <c r="D126">
        <v>7</v>
      </c>
    </row>
    <row r="127" spans="3:4">
      <c r="C127">
        <v>7</v>
      </c>
      <c r="D127">
        <v>5</v>
      </c>
    </row>
    <row r="128" spans="3:4">
      <c r="C128">
        <v>2.2</v>
      </c>
      <c r="D128">
        <v>5</v>
      </c>
    </row>
    <row r="129" spans="3:4">
      <c r="C129">
        <v>7.7</v>
      </c>
      <c r="D129">
        <v>3</v>
      </c>
    </row>
    <row r="130" spans="3:4">
      <c r="C130">
        <v>8.9</v>
      </c>
      <c r="D130">
        <v>4</v>
      </c>
    </row>
    <row r="131" spans="3:4">
      <c r="C131">
        <v>9.4</v>
      </c>
      <c r="D131">
        <v>7</v>
      </c>
    </row>
    <row r="132" spans="3:4">
      <c r="C132">
        <v>5.9</v>
      </c>
      <c r="D132">
        <v>3</v>
      </c>
    </row>
    <row r="133" spans="3:4">
      <c r="C133">
        <v>8.8</v>
      </c>
      <c r="D133">
        <v>5</v>
      </c>
    </row>
    <row r="134" spans="3:4">
      <c r="C134">
        <v>2.7</v>
      </c>
      <c r="D134">
        <v>3</v>
      </c>
    </row>
    <row r="135" spans="3:4">
      <c r="C135">
        <v>9.7</v>
      </c>
      <c r="D135">
        <v>5</v>
      </c>
    </row>
    <row r="136" spans="3:4">
      <c r="C136">
        <v>2.6</v>
      </c>
      <c r="D136">
        <v>3</v>
      </c>
    </row>
    <row r="137" spans="3:4">
      <c r="C137">
        <v>5.1</v>
      </c>
      <c r="D137">
        <v>8</v>
      </c>
    </row>
    <row r="138" spans="3:4">
      <c r="C138">
        <v>10.4</v>
      </c>
      <c r="D138">
        <v>4</v>
      </c>
    </row>
    <row r="139" spans="3:4">
      <c r="C139">
        <v>1.2</v>
      </c>
      <c r="D139">
        <v>2</v>
      </c>
    </row>
    <row r="140" spans="3:4">
      <c r="C140">
        <v>1.4</v>
      </c>
      <c r="D140">
        <v>3</v>
      </c>
    </row>
    <row r="141" spans="3:4">
      <c r="C141">
        <v>4.4</v>
      </c>
      <c r="D141">
        <v>3</v>
      </c>
    </row>
    <row r="142" spans="3:4">
      <c r="C142">
        <v>3.5</v>
      </c>
      <c r="D142">
        <v>4</v>
      </c>
    </row>
    <row r="143" spans="3:4">
      <c r="C143">
        <v>5.8</v>
      </c>
      <c r="D143">
        <v>1</v>
      </c>
    </row>
    <row r="144" spans="3:4">
      <c r="C144">
        <v>0.9</v>
      </c>
      <c r="D144">
        <v>3</v>
      </c>
    </row>
    <row r="145" spans="3:4">
      <c r="C145">
        <v>5.3</v>
      </c>
      <c r="D145">
        <v>3</v>
      </c>
    </row>
    <row r="146" spans="3:4">
      <c r="C146">
        <v>8.6</v>
      </c>
      <c r="D146">
        <v>5</v>
      </c>
    </row>
    <row r="147" spans="3:4">
      <c r="C147">
        <v>0.8</v>
      </c>
      <c r="D147">
        <v>9</v>
      </c>
    </row>
    <row r="148" spans="3:4">
      <c r="C148">
        <v>1.3</v>
      </c>
      <c r="D148">
        <v>3</v>
      </c>
    </row>
    <row r="149" spans="3:4">
      <c r="C149">
        <v>6</v>
      </c>
      <c r="D149">
        <v>1</v>
      </c>
    </row>
    <row r="150" spans="3:4">
      <c r="C150">
        <v>9.3</v>
      </c>
      <c r="D150">
        <v>1</v>
      </c>
    </row>
    <row r="151" spans="3:4">
      <c r="C151">
        <v>11.5</v>
      </c>
      <c r="D151">
        <v>2</v>
      </c>
    </row>
    <row r="152" spans="3:4">
      <c r="C152">
        <v>2.9</v>
      </c>
      <c r="D152">
        <v>3</v>
      </c>
    </row>
    <row r="153" spans="3:4">
      <c r="C153">
        <v>11.3</v>
      </c>
      <c r="D153">
        <v>1</v>
      </c>
    </row>
    <row r="154" spans="3:4">
      <c r="C154" t="s">
        <v>840</v>
      </c>
      <c r="D154">
        <v>500</v>
      </c>
    </row>
  </sheetData>
  <mergeCells count="10">
    <mergeCell ref="C9:D9"/>
    <mergeCell ref="F9:G9"/>
    <mergeCell ref="I9:J9"/>
    <mergeCell ref="L9:N9"/>
    <mergeCell ref="C25:D25"/>
    <mergeCell ref="F25:G25"/>
    <mergeCell ref="I25:J25"/>
    <mergeCell ref="L25:M25"/>
    <mergeCell ref="C38:D38"/>
    <mergeCell ref="C42:D42"/>
  </mergeCells>
  <pageMargins left="0.75" right="0.75" top="1" bottom="1" header="0.5" footer="0.5"/>
  <headerFooter/>
  <drawing r:id="rId14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6:S41"/>
  <sheetViews>
    <sheetView zoomScale="80" zoomScaleNormal="80" topLeftCell="A20" workbookViewId="0">
      <selection activeCell="T47" sqref="T47"/>
    </sheetView>
  </sheetViews>
  <sheetFormatPr defaultColWidth="9.14285714285714" defaultRowHeight="15"/>
  <cols>
    <col min="1" max="15" width="9.14285714285714" style="3"/>
    <col min="16" max="16" width="3.03809523809524" style="3" customWidth="1"/>
    <col min="17" max="17" width="14.6380952380952" style="3" customWidth="1"/>
    <col min="18" max="18" width="18.4285714285714" style="3"/>
    <col min="19" max="19" width="17.5714285714286" style="3"/>
    <col min="20" max="16384" width="9.14285714285714" style="3"/>
  </cols>
  <sheetData>
    <row r="6" spans="6:18">
      <c r="R6" s="4"/>
    </row>
    <row r="10" spans="6:18">
      <c r="F10" s="5"/>
    </row>
    <row r="29" ht="23" customHeight="1" spans="17:19">
      <c r="Q29" s="6" t="s">
        <v>830</v>
      </c>
      <c r="R29" s="7"/>
      <c r="S29" s="7"/>
    </row>
    <row r="30" s="1" customFormat="1" ht="20" customHeight="1" spans="17:19">
      <c r="Q30" s="8" t="s">
        <v>853</v>
      </c>
      <c r="R30" s="8" t="s">
        <v>3</v>
      </c>
      <c r="S30" s="9" t="s">
        <v>845</v>
      </c>
    </row>
    <row r="31" ht="18" customHeight="1" spans="17:19">
      <c r="Q31" s="9" t="s">
        <v>12</v>
      </c>
      <c r="R31" s="9"/>
      <c r="S31" s="9">
        <v>12</v>
      </c>
    </row>
    <row r="32" ht="14" customHeight="1" spans="17:19">
      <c r="Q32" s="9"/>
      <c r="R32" s="9" t="s">
        <v>14</v>
      </c>
      <c r="S32" s="9">
        <v>12</v>
      </c>
    </row>
    <row r="33" ht="16" customHeight="1" spans="17:19">
      <c r="Q33" s="9" t="s">
        <v>248</v>
      </c>
      <c r="R33" s="9"/>
      <c r="S33" s="9">
        <v>10</v>
      </c>
    </row>
    <row r="34" ht="14" customHeight="1" spans="17:19">
      <c r="Q34" s="9"/>
      <c r="R34" s="9" t="s">
        <v>20</v>
      </c>
      <c r="S34" s="9">
        <v>10</v>
      </c>
    </row>
    <row r="35" ht="16" customHeight="1" spans="17:19">
      <c r="Q35" s="9" t="s">
        <v>271</v>
      </c>
      <c r="R35" s="9"/>
      <c r="S35" s="9">
        <v>9.6</v>
      </c>
    </row>
    <row r="36" s="2" customFormat="1" customHeight="1" spans="17:19">
      <c r="Q36" s="9"/>
      <c r="R36" s="9" t="s">
        <v>68</v>
      </c>
      <c r="S36" s="9">
        <v>9.6</v>
      </c>
    </row>
    <row r="37" spans="17:19">
      <c r="Q37" s="9" t="s">
        <v>789</v>
      </c>
      <c r="R37" s="9"/>
      <c r="S37" s="9">
        <v>9.6</v>
      </c>
    </row>
    <row r="38" ht="14" customHeight="1" spans="17:19">
      <c r="Q38" s="9"/>
      <c r="R38" s="9" t="s">
        <v>20</v>
      </c>
      <c r="S38" s="9">
        <v>9.6</v>
      </c>
    </row>
    <row r="39" ht="13" customHeight="1" spans="17:19">
      <c r="Q39" s="9" t="s">
        <v>746</v>
      </c>
      <c r="R39" s="9"/>
      <c r="S39" s="9">
        <v>9.5</v>
      </c>
    </row>
    <row r="40" ht="13" customHeight="1" spans="17:19">
      <c r="Q40" s="9"/>
      <c r="R40" s="9" t="s">
        <v>42</v>
      </c>
      <c r="S40" s="9">
        <v>9.5</v>
      </c>
    </row>
    <row r="41" spans="17:19">
      <c r="Q41" s="9" t="s">
        <v>840</v>
      </c>
      <c r="R41" s="9"/>
      <c r="S41" s="9">
        <v>10.14</v>
      </c>
    </row>
  </sheetData>
  <mergeCells count="1">
    <mergeCell ref="Q29:S29"/>
  </mergeCells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HR_Data</vt:lpstr>
      <vt:lpstr>Sheet2</vt:lpstr>
      <vt:lpstr>Summary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Sachin Kumar</cp:lastModifiedBy>
  <dcterms:created xsi:type="dcterms:W3CDTF">2026-08-25T02:24:00Z</dcterms:created>
  <dcterms:modified xsi:type="dcterms:W3CDTF">2026-09-08T09:18:41Z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186EE505C6424F19856A4E45D7BB2F53_13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